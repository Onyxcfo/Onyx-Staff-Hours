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<sst xmlns="http://schemas.openxmlformats.org/spreadsheetml/2006/main" count="4005" uniqueCount="654">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</sst>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0.0208333333333333</v>
      </c>
      <c r="E7" s="7" t="n">
        <f aca="false">ROUND('Recurring Budgets'!F3*IF(H7="CFO",Assumptions!$B$5,Assumptions!$B$4),0)</f>
        <v>48</v>
      </c>
      <c r="F7" s="6" t="n">
        <f aca="false">ROUND('Recurring Budgets'!G3*60,0)/1440</f>
        <v>0.0291666666666667</v>
      </c>
      <c r="G7" s="7" t="n">
        <f aca="false">ROUND('Recurring Budgets'!G3*Assumptions!$B$5,0)</f>
        <v>175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0.09375</v>
      </c>
      <c r="E13" s="7" t="n">
        <f aca="false">ROUND('Recurring Budgets'!F9*IF(H13="CFO",Assumptions!$B$5,Assumptions!$B$4),0)</f>
        <v>214</v>
      </c>
      <c r="F13" s="6" t="n">
        <f aca="false">ROUND('Recurring Budgets'!G9*60,0)/1440</f>
        <v>0.0291666666666667</v>
      </c>
      <c r="G13" s="7" t="n">
        <f aca="false">ROUND('Recurring Budgets'!G9*Assumptions!$B$5,0)</f>
        <v>175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0.0291666666666667</v>
      </c>
      <c r="G15" s="7" t="n">
        <f aca="false">ROUND('Recurring Budgets'!G11*Assumptions!$B$5,0)</f>
        <v>175</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0.0486111111111111</v>
      </c>
      <c r="E17" s="7" t="n">
        <f aca="false">ROUND('Recurring Budgets'!F13*IF(H17="CFO",Assumptions!$B$5,Assumptions!$B$4),0)</f>
        <v>111</v>
      </c>
      <c r="F17" s="6" t="n">
        <f aca="false">ROUND('Recurring Budgets'!G13*60,0)/1440</f>
        <v>0.0291666666666667</v>
      </c>
      <c r="G17" s="7" t="n">
        <f aca="false">ROUND('Recurring Budgets'!G13*Assumptions!$B$5,0)</f>
        <v>175</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0.0159722222222222</v>
      </c>
      <c r="G19" s="7" t="n">
        <f aca="false">ROUND('Recurring Budgets'!G15*Assumptions!$B$5,0)</f>
        <v>96</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0.0201388888888889</v>
      </c>
      <c r="G21" s="7" t="n">
        <f aca="false">ROUND('Recurring Budgets'!G17*Assumptions!$B$5,0)</f>
        <v>121</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0.673611111111111</v>
      </c>
      <c r="E24" s="7" t="n">
        <f aca="false">ROUND('Recurring Budgets'!F20*IF(H24="CFO",Assumptions!$B$5,Assumptions!$B$4),0)</f>
        <v>1536</v>
      </c>
      <c r="F24" s="6" t="n">
        <f aca="false">ROUND('Recurring Budgets'!G20*60,0)/1440</f>
        <v>0.0416666666666667</v>
      </c>
      <c r="G24" s="7" t="n">
        <f aca="false">ROUND('Recurring Budgets'!G20*Assumptions!$B$5,0)</f>
        <v>250</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0.03125</v>
      </c>
      <c r="E27" s="7" t="n">
        <f aca="false">ROUND('Recurring Budgets'!F23*IF(H27="CFO",Assumptions!$B$5,Assumptions!$B$4),0)</f>
        <v>71</v>
      </c>
      <c r="F27" s="6" t="n">
        <f aca="false">ROUND('Recurring Budgets'!G23*60,0)/1440</f>
        <v>0.0208333333333333</v>
      </c>
      <c r="G27" s="7" t="n">
        <f aca="false">ROUND('Recurring Budgets'!G23*Assumptions!$B$5,0)</f>
        <v>125</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0.118055555555556</v>
      </c>
      <c r="E29" s="7" t="n">
        <f aca="false">ROUND('Recurring Budgets'!F25*IF(H29="CFO",Assumptions!$B$5,Assumptions!$B$4),0)</f>
        <v>269</v>
      </c>
      <c r="F29" s="6" t="n">
        <f aca="false">ROUND('Recurring Budgets'!G25*60,0)/1440</f>
        <v>0.0458333333333333</v>
      </c>
      <c r="G29" s="7" t="n">
        <f aca="false">ROUND('Recurring Budgets'!G25*Assumptions!$B$5,0)</f>
        <v>275</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0.288194444444444</v>
      </c>
      <c r="E31" s="7" t="n">
        <f aca="false">ROUND('Recurring Budgets'!F27*IF(H31="CFO",Assumptions!$B$5,Assumptions!$B$4),0)</f>
        <v>657</v>
      </c>
      <c r="F31" s="6" t="n">
        <f aca="false">ROUND('Recurring Budgets'!G27*60,0)/1440</f>
        <v>0.0333333333333333</v>
      </c>
      <c r="G31" s="7" t="n">
        <f aca="false">ROUND('Recurring Budgets'!G27*Assumptions!$B$5,0)</f>
        <v>200</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0.0173611111111111</v>
      </c>
      <c r="E33" s="7" t="n">
        <f aca="false">ROUND('Recurring Budgets'!F29*IF(H33="CFO",Assumptions!$B$5,Assumptions!$B$4),0)</f>
        <v>40</v>
      </c>
      <c r="F33" s="6" t="n">
        <f aca="false">ROUND('Recurring Budgets'!G29*60,0)/1440</f>
        <v>0.0208333333333333</v>
      </c>
      <c r="G33" s="7" t="n">
        <f aca="false">ROUND('Recurring Budgets'!G29*Assumptions!$B$5,0)</f>
        <v>125</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0.121527777777778</v>
      </c>
      <c r="E35" s="7" t="n">
        <f aca="false">ROUND('Recurring Budgets'!F31*IF(H35="CFO",Assumptions!$B$5,Assumptions!$B$4),0)</f>
        <v>277</v>
      </c>
      <c r="F35" s="6" t="n">
        <f aca="false">ROUND('Recurring Budgets'!G31*60,0)/1440</f>
        <v>0.0520833333333333</v>
      </c>
      <c r="G35" s="7" t="n">
        <f aca="false">ROUND('Recurring Budgets'!G31*Assumptions!$B$5,0)</f>
        <v>313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0.114583333333333</v>
      </c>
      <c r="E37" s="7" t="n">
        <f aca="false">ROUND('Recurring Budgets'!F33*IF(H37="CFO",Assumptions!$B$5,Assumptions!$B$4),0)</f>
        <v>688</v>
      </c>
      <c r="F37" s="6" t="n">
        <f aca="false">ROUND('Recurring Budgets'!G33*60,0)/1440</f>
        <v>0.0208333333333333</v>
      </c>
      <c r="G37" s="7" t="n">
        <f aca="false">ROUND('Recurring Budgets'!G33*Assumptions!$B$5,0)</f>
        <v>125</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0.319444444444444</v>
      </c>
      <c r="E39" s="7" t="n">
        <f aca="false">ROUND('Recurring Budgets'!F35*IF(H39="CFO",Assumptions!$B$5,Assumptions!$B$4),0)</f>
        <v>728</v>
      </c>
      <c r="F39" s="6" t="n">
        <f aca="false">ROUND('Recurring Budgets'!G35*60,0)/1440</f>
        <v>0.05</v>
      </c>
      <c r="G39" s="7" t="n">
        <f aca="false">ROUND('Recurring Budgets'!G35*Assumptions!$B$5,0)</f>
        <v>300</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0.184027777777778</v>
      </c>
      <c r="E41" s="7" t="n">
        <f aca="false">ROUND('Recurring Budgets'!F37*IF(H41="CFO",Assumptions!$B$5,Assumptions!$B$4),0)</f>
        <v>420</v>
      </c>
      <c r="F41" s="6" t="n">
        <f aca="false">ROUND('Recurring Budgets'!G37*60,0)/1440</f>
        <v>0.0291666666666667</v>
      </c>
      <c r="G41" s="7" t="n">
        <f aca="false">ROUND('Recurring Budgets'!G37*Assumptions!$B$5,0)</f>
        <v>175</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0.0208333333333333</v>
      </c>
      <c r="G43" s="7" t="n">
        <f aca="false">ROUND('Recurring Budgets'!G39*Assumptions!$B$5,0)</f>
        <v>125</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0.239583333333333</v>
      </c>
      <c r="E45" s="7" t="n">
        <f aca="false">ROUND('Recurring Budgets'!F41*IF(H45="CFO",Assumptions!$B$5,Assumptions!$B$4),0)</f>
        <v>1438</v>
      </c>
      <c r="F45" s="6" t="n">
        <f aca="false">ROUND('Recurring Budgets'!G41*60,0)/1440</f>
        <v>0.0201388888888889</v>
      </c>
      <c r="G45" s="7" t="n">
        <f aca="false">ROUND('Recurring Budgets'!G41*Assumptions!$B$5,0)</f>
        <v>121</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0.229166666666667</v>
      </c>
      <c r="E47" s="7" t="n">
        <f aca="false">ROUND('Recurring Budgets'!F44*IF(H47="CFO",Assumptions!$B$5,Assumptions!$B$4),0)</f>
        <v>1375</v>
      </c>
      <c r="F47" s="6" t="n">
        <f aca="false">ROUND('Recurring Budgets'!G44*60,0)/1440</f>
        <v>0.0729166666666667</v>
      </c>
      <c r="G47" s="7" t="n">
        <f aca="false">ROUND('Recurring Budgets'!G44*Assumptions!$B$5,0)</f>
        <v>438</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0.923611111111111</v>
      </c>
      <c r="E49" s="7" t="n">
        <f aca="false">ROUND('Recurring Budgets'!F46*IF(H49="CFO",Assumptions!$B$5,Assumptions!$B$4),0)</f>
        <v>2106</v>
      </c>
      <c r="F49" s="6" t="n">
        <f aca="false">ROUND('Recurring Budgets'!G46*60,0)/1440</f>
        <v>0.0625</v>
      </c>
      <c r="G49" s="7" t="n">
        <f aca="false">ROUND('Recurring Budgets'!G46*Assumptions!$B$5,0)</f>
        <v>375</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0.774305555555556</v>
      </c>
      <c r="E55" s="7" t="n">
        <f aca="false">ROUND('Recurring Budgets'!F52*IF(H55="CFO",Assumptions!$B$5,Assumptions!$B$4),0)</f>
        <v>1765</v>
      </c>
      <c r="F55" s="6" t="n">
        <f aca="false">ROUND('Recurring Budgets'!G52*60,0)/1440</f>
        <v>0.0104166666666667</v>
      </c>
      <c r="G55" s="7" t="n">
        <f aca="false">ROUND('Recurring Budgets'!G52*Assumptions!$B$5,0)</f>
        <v>63</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0.0159722222222222</v>
      </c>
      <c r="G57" s="7" t="n">
        <f aca="false">ROUND('Recurring Budgets'!G63*Assumptions!$B$5,0)</f>
        <v>96</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0.0694444444444445</v>
      </c>
      <c r="E59" s="7" t="n">
        <f aca="false">ROUND('Recurring Budgets'!F65*IF(H59="CFO",Assumptions!$B$5,Assumptions!$B$4),0)</f>
        <v>158</v>
      </c>
      <c r="F59" s="6" t="n">
        <f aca="false">ROUND('Recurring Budgets'!G65*60,0)/1440</f>
        <v>0.0159722222222222</v>
      </c>
      <c r="G59" s="7" t="n">
        <f aca="false">ROUND('Recurring Budgets'!G65*Assumptions!$B$5,0)</f>
        <v>96</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1.47222222222222</v>
      </c>
      <c r="E62" s="7" t="n">
        <f aca="false">ROUND('Recurring Budgets'!F68*IF(H62="CFO",Assumptions!$B$5,Assumptions!$B$4),0)</f>
        <v>3357</v>
      </c>
      <c r="F62" s="6" t="n">
        <f aca="false">ROUND('Recurring Budgets'!G68*60,0)/1440</f>
        <v>0.0625</v>
      </c>
      <c r="G62" s="7" t="n">
        <f aca="false">ROUND('Recurring Budgets'!G68*Assumptions!$B$5,0)</f>
        <v>375</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0.135416666666667</v>
      </c>
      <c r="E65" s="7" t="n">
        <f aca="false">ROUND('Recurring Budgets'!F71*IF(H65="CFO",Assumptions!$B$5,Assumptions!$B$4),0)</f>
        <v>309</v>
      </c>
      <c r="F65" s="6" t="n">
        <f aca="false">ROUND('Recurring Budgets'!G71*60,0)/1440</f>
        <v>0.0291666666666667</v>
      </c>
      <c r="G65" s="7" t="n">
        <f aca="false">ROUND('Recurring Budgets'!G71*Assumptions!$B$5,0)</f>
        <v>175</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0.0729166666666667</v>
      </c>
      <c r="E67" s="7" t="n">
        <f aca="false">ROUND('Recurring Budgets'!F73*IF(H67="CFO",Assumptions!$B$5,Assumptions!$B$4),0)</f>
        <v>166</v>
      </c>
      <c r="F67" s="6" t="n">
        <f aca="false">ROUND('Recurring Budgets'!G73*60,0)/1440</f>
        <v>0.0291666666666667</v>
      </c>
      <c r="G67" s="7" t="n">
        <f aca="false">ROUND('Recurring Budgets'!G73*Assumptions!$B$5,0)</f>
        <v>175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0.00694444444444444</v>
      </c>
      <c r="G69" s="7" t="n">
        <f aca="false">ROUND('Recurring Budgets'!G75*Assumptions!$B$5,0)</f>
        <v>42</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0.194444444444444</v>
      </c>
      <c r="E71" s="7" t="n">
        <f aca="false">ROUND('Recurring Budgets'!F77*IF(H71="CFO",Assumptions!$B$5,Assumptions!$B$4),0)</f>
        <v>443</v>
      </c>
      <c r="F71" s="6" t="n">
        <f aca="false">ROUND('Recurring Budgets'!G77*60,0)/1440</f>
        <v>0.0104166666666667</v>
      </c>
      <c r="G71" s="7" t="n">
        <f aca="false">ROUND('Recurring Budgets'!G77*Assumptions!$B$5,0)</f>
        <v>63</v>
      </c>
      <c r="H71" s="8" t="str">
        <f aca="false">'Recurring Budgets'!L77</f>
        <v>Staff</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0.0590277777777778</v>
      </c>
      <c r="E73" s="7" t="n">
        <f aca="false">ROUND('Recurring Budgets'!F79*IF(H73="CFO",Assumptions!$B$5,Assumptions!$B$4),0)</f>
        <v>135</v>
      </c>
      <c r="F73" s="6" t="n">
        <f aca="false">ROUND('Recurring Budgets'!G79*60,0)/1440</f>
        <v>0.0291666666666667</v>
      </c>
      <c r="G73" s="7" t="n">
        <f aca="false">ROUND('Recurring Budgets'!G79*Assumptions!$B$5,0)</f>
        <v>175</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0.239583333333333</v>
      </c>
      <c r="E77" s="7" t="n">
        <f aca="false">ROUND('Recurring Budgets'!F83*IF(H77="CFO",Assumptions!$B$5,Assumptions!$B$4),0)</f>
        <v>546</v>
      </c>
      <c r="F77" s="6" t="n">
        <f aca="false">ROUND('Recurring Budgets'!G83*60,0)/1440</f>
        <v>0.0291666666666667</v>
      </c>
      <c r="G77" s="7" t="n">
        <f aca="false">ROUND('Recurring Budgets'!G83*Assumptions!$B$5,0)</f>
        <v>175</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0.0763888888888889</v>
      </c>
      <c r="E85" s="7" t="n">
        <f aca="false">ROUND('Recurring Budgets'!F91*IF(H85="CFO",Assumptions!$B$5,Assumptions!$B$4),0)</f>
        <v>174</v>
      </c>
      <c r="F85" s="6" t="n">
        <f aca="false">ROUND('Recurring Budgets'!G91*60,0)/1440</f>
        <v>0.0416666666666667</v>
      </c>
      <c r="G85" s="7" t="n">
        <f aca="false">ROUND('Recurring Budgets'!G91*Assumptions!$B$5,0)</f>
        <v>250</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0.0208333333333333</v>
      </c>
      <c r="G88" s="7" t="n">
        <f aca="false">ROUND('Recurring Budgets'!G94*Assumptions!$B$5,0)</f>
        <v>125</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0.291666666666667</v>
      </c>
      <c r="E92" s="7" t="n">
        <f aca="false">ROUND('Recurring Budgets'!F98*IF(H92="CFO",Assumptions!$B$5,Assumptions!$B$4),0)</f>
        <v>1750</v>
      </c>
      <c r="F92" s="6" t="n">
        <f aca="false">ROUND('Recurring Budgets'!G98*60,0)/1440</f>
        <v>0.0416666666666667</v>
      </c>
      <c r="G92" s="7" t="n">
        <f aca="false">ROUND('Recurring Budgets'!G98*Assumptions!$B$5,0)</f>
        <v>250</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0.229166666666667</v>
      </c>
      <c r="E94" s="7" t="n">
        <f aca="false">ROUND('Recurring Budgets'!F100*IF(H94="CFO",Assumptions!$B$5,Assumptions!$B$4),0)</f>
        <v>523</v>
      </c>
      <c r="F94" s="6" t="n">
        <f aca="false">ROUND('Recurring Budgets'!G100*60,0)/1440</f>
        <v>0.0416666666666667</v>
      </c>
      <c r="G94" s="7" t="n">
        <f aca="false">ROUND('Recurring Budgets'!G100*Assumptions!$B$5,0)</f>
        <v>250</v>
      </c>
      <c r="H94" s="8" t="str">
        <f aca="false">'Recurring Budgets'!L100</f>
        <v>Staff</v>
      </c>
    </row>
    <row r="95" customFormat="false" ht="15" hidden="false" customHeight="false" outlineLevel="0" collapsed="false">
      <c r="A95" s="2" t="s">
        <v>72</v>
      </c>
      <c r="B95" s="2" t="s">
        <v>17</v>
      </c>
      <c r="C95" s="2" t="s">
        <v>13</v>
      </c>
      <c r="D95" s="6" t="n">
        <f aca="false">ROUND('Recurring Budgets'!F102*60,0)/1440</f>
        <v>0.0416666666666667</v>
      </c>
      <c r="E95" s="7" t="n">
        <f aca="false">ROUND('Recurring Budgets'!F102*IF(H95="CFO",Assumptions!$B$5,Assumptions!$B$4),0)</f>
        <v>250</v>
      </c>
      <c r="F95" s="6" t="n">
        <f aca="false">ROUND('Recurring Budgets'!G102*60,0)/1440</f>
        <v>0.0625</v>
      </c>
      <c r="G95" s="7" t="n">
        <f aca="false">ROUND('Recurring Budgets'!G102*Assumptions!$B$5,0)</f>
        <v>375</v>
      </c>
      <c r="H95" s="8" t="str">
        <f aca="false">'Recurring Budgets'!L102</f>
        <v>CFO</v>
      </c>
    </row>
    <row r="96" customFormat="false" ht="15" hidden="false" customHeight="false" outlineLevel="0" collapsed="false">
      <c r="A96" s="2" t="s">
        <v>73</v>
      </c>
      <c r="B96" s="2" t="s">
        <v>12</v>
      </c>
      <c r="C96" s="2" t="s">
        <v>13</v>
      </c>
      <c r="D96" s="6" t="n">
        <f aca="false">ROUND('Recurring Budgets'!F103*60,0)/1440</f>
        <v>0.0833333333333333</v>
      </c>
      <c r="E96" s="7" t="n">
        <f aca="false">ROUND('Recurring Budgets'!F103*IF(H96="CFO",Assumptions!$B$5,Assumptions!$B$4),0)</f>
        <v>190</v>
      </c>
      <c r="F96" s="6" t="n">
        <f aca="false">ROUND('Recurring Budgets'!G103*60,0)/1440</f>
        <v>0</v>
      </c>
      <c r="G96" s="7" t="n">
        <f aca="false">ROUND('Recurring Budgets'!G103*Assumptions!$B$5,0)</f>
        <v>0</v>
      </c>
      <c r="H96" s="8" t="str">
        <f aca="false">'Recurring Budgets'!L103</f>
        <v>Staff</v>
      </c>
    </row>
    <row r="97" customFormat="false" ht="15" hidden="false" customHeight="false" outlineLevel="0" collapsed="false">
      <c r="A97" s="2" t="s">
        <v>73</v>
      </c>
      <c r="B97" s="2" t="s">
        <v>28</v>
      </c>
      <c r="C97" s="2" t="s">
        <v>21</v>
      </c>
      <c r="D97" s="6" t="n">
        <f aca="false">ROUND('Recurring Budgets'!F104*60,0)/1440</f>
        <v>0.1875</v>
      </c>
      <c r="E97" s="7" t="n">
        <f aca="false">ROUND('Recurring Budgets'!F104*IF(H97="CFO",Assumptions!$B$5,Assumptions!$B$4),0)</f>
        <v>1125</v>
      </c>
      <c r="F97" s="6" t="n">
        <f aca="false">ROUND('Recurring Budgets'!G104*60,0)/1440</f>
        <v>0</v>
      </c>
      <c r="G97" s="7" t="n">
        <f aca="false">ROUND('Recurring Budgets'!G104*Assumptions!$B$5,0)</f>
        <v>0</v>
      </c>
      <c r="H97" s="8" t="str">
        <f aca="false">'Recurring Budgets'!L104</f>
        <v>CFO</v>
      </c>
    </row>
    <row r="98" customFormat="false" ht="15" hidden="false" customHeight="false" outlineLevel="0" collapsed="false">
      <c r="A98" s="2" t="s">
        <v>73</v>
      </c>
      <c r="B98" s="2" t="s">
        <v>14</v>
      </c>
      <c r="C98" s="2" t="s">
        <v>15</v>
      </c>
      <c r="D98" s="6" t="n">
        <f aca="false">ROUND('Recurring Budgets'!F105*60,0)/1440</f>
        <v>0.0416666666666667</v>
      </c>
      <c r="E98" s="7" t="n">
        <f aca="false">ROUND('Recurring Budgets'!F105*IF(H98="CFO",Assumptions!$B$5,Assumptions!$B$4),0)</f>
        <v>95</v>
      </c>
      <c r="F98" s="6" t="n">
        <f aca="false">ROUND('Recurring Budgets'!G105*60,0)/1440</f>
        <v>0.0208333333333333</v>
      </c>
      <c r="G98" s="7" t="n">
        <f aca="false">ROUND('Recurring Budgets'!G105*Assumptions!$B$5,0)</f>
        <v>125</v>
      </c>
      <c r="H98" s="8" t="str">
        <f aca="false">'Recurring Budgets'!L105</f>
        <v>Staff</v>
      </c>
    </row>
    <row r="99" customFormat="false" ht="15" hidden="false" customHeight="false" outlineLevel="0" collapsed="false">
      <c r="A99" s="2" t="s">
        <v>74</v>
      </c>
      <c r="B99" s="2" t="s">
        <v>12</v>
      </c>
      <c r="C99" s="2" t="s">
        <v>13</v>
      </c>
      <c r="D99" s="6" t="n">
        <f aca="false">ROUND('Recurring Budgets'!F106*60,0)/1440</f>
        <v>0.0159722222222222</v>
      </c>
      <c r="E99" s="7" t="n">
        <f aca="false">ROUND('Recurring Budgets'!F106*IF(H99="CFO",Assumptions!$B$5,Assumptions!$B$4),0)</f>
        <v>36</v>
      </c>
      <c r="F99" s="6" t="n">
        <f aca="false">ROUND('Recurring Budgets'!G106*60,0)/1440</f>
        <v>0</v>
      </c>
      <c r="G99" s="7" t="n">
        <f aca="false">ROUND('Recurring Budgets'!G106*Assumptions!$B$5,0)</f>
        <v>0</v>
      </c>
      <c r="H99" s="8" t="str">
        <f aca="false">'Recurring Budgets'!L106</f>
        <v>Staff</v>
      </c>
    </row>
    <row r="100" customFormat="false" ht="15" hidden="false" customHeight="false" outlineLevel="0" collapsed="false">
      <c r="A100" s="2" t="s">
        <v>74</v>
      </c>
      <c r="B100" s="2" t="s">
        <v>14</v>
      </c>
      <c r="C100" s="2" t="s">
        <v>15</v>
      </c>
      <c r="D100" s="6" t="n">
        <f aca="false">ROUND('Recurring Budgets'!F107*60,0)/1440</f>
        <v>0.0659722222222222</v>
      </c>
      <c r="E100" s="7" t="n">
        <f aca="false">ROUND('Recurring Budgets'!F107*IF(H100="CFO",Assumptions!$B$5,Assumptions!$B$4),0)</f>
        <v>150</v>
      </c>
      <c r="F100" s="6" t="n">
        <f aca="false">ROUND('Recurring Budgets'!G107*60,0)/1440</f>
        <v>0.0201388888888889</v>
      </c>
      <c r="G100" s="7" t="n">
        <f aca="false">ROUND('Recurring Budgets'!G107*Assumptions!$B$5,0)</f>
        <v>121</v>
      </c>
      <c r="H100" s="8" t="str">
        <f aca="false">'Recurring Budgets'!L107</f>
        <v>Staff</v>
      </c>
    </row>
    <row r="101" customFormat="false" ht="15" hidden="false" customHeight="false" outlineLevel="0" collapsed="false">
      <c r="A101" s="2" t="s">
        <v>75</v>
      </c>
      <c r="B101" s="2" t="s">
        <v>12</v>
      </c>
      <c r="C101" s="2" t="s">
        <v>13</v>
      </c>
      <c r="D101" s="6" t="n">
        <f aca="false">ROUND('Recurring Budgets'!F108*60,0)/1440</f>
        <v>0.0159722222222222</v>
      </c>
      <c r="E101" s="7" t="n">
        <f aca="false">ROUND('Recurring Budgets'!F108*IF(H101="CFO",Assumptions!$B$5,Assumptions!$B$4),0)</f>
        <v>36</v>
      </c>
      <c r="F101" s="6" t="n">
        <f aca="false">ROUND('Recurring Budgets'!G108*60,0)/1440</f>
        <v>0</v>
      </c>
      <c r="G101" s="7" t="n">
        <f aca="false">ROUND('Recurring Budgets'!G108*Assumptions!$B$5,0)</f>
        <v>0</v>
      </c>
      <c r="H101" s="8" t="str">
        <f aca="false">'Recurring Budgets'!L108</f>
        <v>Staff</v>
      </c>
    </row>
    <row r="102" customFormat="false" ht="15" hidden="false" customHeight="false" outlineLevel="0" collapsed="false">
      <c r="A102" s="2" t="s">
        <v>75</v>
      </c>
      <c r="B102" s="2" t="s">
        <v>14</v>
      </c>
      <c r="C102" s="2" t="s">
        <v>15</v>
      </c>
      <c r="D102" s="6" t="n">
        <f aca="false">ROUND('Recurring Budgets'!F109*60,0)/1440</f>
        <v>0.03125</v>
      </c>
      <c r="E102" s="7" t="n">
        <f aca="false">ROUND('Recurring Budgets'!F109*IF(H102="CFO",Assumptions!$B$5,Assumptions!$B$4),0)</f>
        <v>71</v>
      </c>
      <c r="F102" s="6" t="n">
        <f aca="false">ROUND('Recurring Budgets'!G109*60,0)/1440</f>
        <v>0.0159722222222222</v>
      </c>
      <c r="G102" s="7" t="n">
        <f aca="false">ROUND('Recurring Budgets'!G109*Assumptions!$B$5,0)</f>
        <v>96</v>
      </c>
      <c r="H102" s="8" t="str">
        <f aca="false">'Recurring Budgets'!L109</f>
        <v>Staff</v>
      </c>
    </row>
    <row r="103" customFormat="false" ht="15" hidden="false" customHeight="false" outlineLevel="0" collapsed="false">
      <c r="A103" s="2" t="s">
        <v>76</v>
      </c>
      <c r="B103" s="2" t="s">
        <v>12</v>
      </c>
      <c r="C103" s="2" t="s">
        <v>13</v>
      </c>
      <c r="D103" s="6" t="n">
        <f aca="false">ROUND('Recurring Budgets'!F110*60,0)/1440</f>
        <v>0.03125</v>
      </c>
      <c r="E103" s="7" t="n">
        <f aca="false">ROUND('Recurring Budgets'!F110*IF(H103="CFO",Assumptions!$B$5,Assumptions!$B$4),0)</f>
        <v>71</v>
      </c>
      <c r="F103" s="6" t="n">
        <f aca="false">ROUND('Recurring Budgets'!G110*60,0)/1440</f>
        <v>0</v>
      </c>
      <c r="G103" s="7" t="n">
        <f aca="false">ROUND('Recurring Budgets'!G110*Assumptions!$B$5,0)</f>
        <v>0</v>
      </c>
      <c r="H103" s="8" t="str">
        <f aca="false">'Recurring Budgets'!L110</f>
        <v>Staff</v>
      </c>
    </row>
    <row r="104" customFormat="false" ht="15" hidden="false" customHeight="false" outlineLevel="0" collapsed="false">
      <c r="A104" s="2" t="s">
        <v>76</v>
      </c>
      <c r="B104" s="2" t="s">
        <v>77</v>
      </c>
      <c r="C104" s="2" t="s">
        <v>56</v>
      </c>
      <c r="D104" s="6" t="n">
        <f aca="false">ROUND('Recurring Budgets'!F111*60,0)/1440</f>
        <v>0.177083333333333</v>
      </c>
      <c r="E104" s="7" t="n">
        <f aca="false">ROUND('Recurring Budgets'!F111*IF(H104="CFO",Assumptions!$B$5,Assumptions!$B$4),0)</f>
        <v>404</v>
      </c>
      <c r="F104" s="6" t="n">
        <f aca="false">ROUND('Recurring Budgets'!G111*60,0)/1440</f>
        <v>0.0104166666666667</v>
      </c>
      <c r="G104" s="7" t="n">
        <f aca="false">ROUND('Recurring Budgets'!G111*Assumptions!$B$5,0)</f>
        <v>63</v>
      </c>
      <c r="H104" s="8" t="str">
        <f aca="false">'Recurring Budgets'!L111</f>
        <v>Staff</v>
      </c>
    </row>
    <row r="105" customFormat="false" ht="15" hidden="false" customHeight="false" outlineLevel="0" collapsed="false">
      <c r="A105" s="2" t="s">
        <v>76</v>
      </c>
      <c r="B105" s="2" t="s">
        <v>14</v>
      </c>
      <c r="C105" s="2" t="s">
        <v>15</v>
      </c>
      <c r="D105" s="6" t="n">
        <f aca="false">ROUND('Recurring Budgets'!F112*60,0)/1440</f>
        <v>0.232638888888889</v>
      </c>
      <c r="E105" s="7" t="n">
        <f aca="false">ROUND('Recurring Budgets'!F112*IF(H105="CFO",Assumptions!$B$5,Assumptions!$B$4),0)</f>
        <v>530</v>
      </c>
      <c r="F105" s="6" t="n">
        <f aca="false">ROUND('Recurring Budgets'!G112*60,0)/1440</f>
        <v>0.0208333333333333</v>
      </c>
      <c r="G105" s="7" t="n">
        <f aca="false">ROUND('Recurring Budgets'!G112*Assumptions!$B$5,0)</f>
        <v>125</v>
      </c>
      <c r="H105" s="8" t="str">
        <f aca="false">'Recurring Budgets'!L112</f>
        <v>Staff</v>
      </c>
    </row>
    <row r="106" customFormat="false" ht="15" hidden="false" customHeight="false" outlineLevel="0" collapsed="false">
      <c r="A106" s="2" t="s">
        <v>76</v>
      </c>
      <c r="B106" s="2" t="s">
        <v>78</v>
      </c>
      <c r="C106" s="2" t="s">
        <v>15</v>
      </c>
      <c r="D106" s="6" t="n">
        <f aca="false">ROUND('Recurring Budgets'!F113*60,0)/1440</f>
        <v>0.184027777777778</v>
      </c>
      <c r="E106" s="7" t="n">
        <f aca="false">ROUND('Recurring Budgets'!F113*IF(H106="CFO",Assumptions!$B$5,Assumptions!$B$4),0)</f>
        <v>420</v>
      </c>
      <c r="F106" s="6" t="n">
        <f aca="false">ROUND('Recurring Budgets'!G113*60,0)/1440</f>
        <v>0</v>
      </c>
      <c r="G106" s="7" t="n">
        <f aca="false">ROUND('Recurring Budgets'!G113*Assumptions!$B$5,0)</f>
        <v>0</v>
      </c>
      <c r="H106" s="8" t="str">
        <f aca="false">'Recurring Budgets'!L113</f>
        <v>Staff</v>
      </c>
    </row>
    <row r="107" customFormat="false" ht="15" hidden="false" customHeight="false" outlineLevel="0" collapsed="false">
      <c r="A107" s="2" t="s">
        <v>76</v>
      </c>
      <c r="B107" s="2" t="s">
        <v>79</v>
      </c>
      <c r="C107" s="2" t="s">
        <v>30</v>
      </c>
      <c r="D107" s="6" t="n">
        <f aca="false">ROUND('Recurring Budgets'!F114*60,0)/1440</f>
        <v>0.0451388888888889</v>
      </c>
      <c r="E107" s="7" t="n">
        <f aca="false">ROUND('Recurring Budgets'!F114*IF(H107="CFO",Assumptions!$B$5,Assumptions!$B$4),0)</f>
        <v>103</v>
      </c>
      <c r="F107" s="6" t="n">
        <f aca="false">ROUND('Recurring Budgets'!G114*60,0)/1440</f>
        <v>0.0104166666666667</v>
      </c>
      <c r="G107" s="7" t="n">
        <f aca="false">ROUND('Recurring Budgets'!G114*Assumptions!$B$5,0)</f>
        <v>63</v>
      </c>
      <c r="H107" s="8" t="str">
        <f aca="false">'Recurring Budgets'!L114</f>
        <v>Staff</v>
      </c>
    </row>
    <row r="108" customFormat="false" ht="15" hidden="false" customHeight="false" outlineLevel="0" collapsed="false">
      <c r="A108" s="2" t="s">
        <v>76</v>
      </c>
      <c r="B108" s="2" t="s">
        <v>80</v>
      </c>
      <c r="C108" s="2" t="s">
        <v>30</v>
      </c>
      <c r="D108" s="6" t="n">
        <f aca="false">ROUND('Recurring Budgets'!F115*60,0)/1440</f>
        <v>0.00694444444444444</v>
      </c>
      <c r="E108" s="7" t="n">
        <f aca="false">ROUND('Recurring Budgets'!F115*IF(H108="CFO",Assumptions!$B$5,Assumptions!$B$4),0)</f>
        <v>42</v>
      </c>
      <c r="F108" s="6" t="n">
        <f aca="false">ROUND('Recurring Budgets'!G115*60,0)/1440</f>
        <v>0</v>
      </c>
      <c r="G108" s="7" t="n">
        <f aca="false">ROUND('Recurring Budgets'!G115*Assumptions!$B$5,0)</f>
        <v>0</v>
      </c>
      <c r="H108" s="8" t="str">
        <f aca="false">'Recurring Budgets'!L115</f>
        <v>CFO</v>
      </c>
    </row>
    <row r="109" customFormat="false" ht="15" hidden="false" customHeight="false" outlineLevel="0" collapsed="false">
      <c r="A109" s="2" t="s">
        <v>81</v>
      </c>
      <c r="B109" s="2" t="s">
        <v>12</v>
      </c>
      <c r="C109" s="2" t="s">
        <v>13</v>
      </c>
      <c r="D109" s="6" t="n">
        <f aca="false">ROUND('Recurring Budgets'!F116*60,0)/1440</f>
        <v>0.03125</v>
      </c>
      <c r="E109" s="7" t="n">
        <f aca="false">ROUND('Recurring Budgets'!F116*IF(H109="CFO",Assumptions!$B$5,Assumptions!$B$4),0)</f>
        <v>71</v>
      </c>
      <c r="F109" s="6" t="n">
        <f aca="false">ROUND('Recurring Budgets'!G116*60,0)/1440</f>
        <v>0</v>
      </c>
      <c r="G109" s="7" t="n">
        <f aca="false">ROUND('Recurring Budgets'!G116*Assumptions!$B$5,0)</f>
        <v>0</v>
      </c>
      <c r="H109" s="8" t="str">
        <f aca="false">'Recurring Budgets'!L116</f>
        <v>Staff</v>
      </c>
    </row>
    <row r="110" customFormat="false" ht="15" hidden="false" customHeight="false" outlineLevel="0" collapsed="false">
      <c r="A110" s="2" t="s">
        <v>81</v>
      </c>
      <c r="B110" s="2" t="s">
        <v>14</v>
      </c>
      <c r="C110" s="2" t="s">
        <v>15</v>
      </c>
      <c r="D110" s="6" t="n">
        <f aca="false">ROUND('Recurring Budgets'!F117*60,0)/1440</f>
        <v>0.0208333333333333</v>
      </c>
      <c r="E110" s="7" t="n">
        <f aca="false">ROUND('Recurring Budgets'!F117*IF(H110="CFO",Assumptions!$B$5,Assumptions!$B$4),0)</f>
        <v>48</v>
      </c>
      <c r="F110" s="6" t="n">
        <f aca="false">ROUND('Recurring Budgets'!G117*60,0)/1440</f>
        <v>0.025</v>
      </c>
      <c r="G110" s="7" t="n">
        <f aca="false">ROUND('Recurring Budgets'!G117*Assumptions!$B$5,0)</f>
        <v>150</v>
      </c>
      <c r="H110" s="8" t="str">
        <f aca="false">'Recurring Budgets'!L117</f>
        <v>Staff</v>
      </c>
    </row>
    <row r="111" customFormat="false" ht="15" hidden="false" customHeight="false" outlineLevel="0" collapsed="false">
      <c r="A111" s="2" t="s">
        <v>82</v>
      </c>
      <c r="B111" s="2" t="s">
        <v>12</v>
      </c>
      <c r="C111" s="2" t="s">
        <v>13</v>
      </c>
      <c r="D111" s="6" t="n">
        <f aca="false">ROUND('Recurring Budgets'!F118*60,0)/1440</f>
        <v>0.03125</v>
      </c>
      <c r="E111" s="7" t="n">
        <f aca="false">ROUND('Recurring Budgets'!F118*IF(H111="CFO",Assumptions!$B$5,Assumptions!$B$4),0)</f>
        <v>71</v>
      </c>
      <c r="F111" s="6" t="n">
        <f aca="false">ROUND('Recurring Budgets'!G118*60,0)/1440</f>
        <v>0</v>
      </c>
      <c r="G111" s="7" t="n">
        <f aca="false">ROUND('Recurring Budgets'!G118*Assumptions!$B$5,0)</f>
        <v>0</v>
      </c>
      <c r="H111" s="8" t="str">
        <f aca="false">'Recurring Budgets'!L118</f>
        <v>Staff</v>
      </c>
    </row>
    <row r="112" customFormat="false" ht="15" hidden="false" customHeight="false" outlineLevel="0" collapsed="false">
      <c r="A112" s="2" t="s">
        <v>82</v>
      </c>
      <c r="B112" s="2" t="s">
        <v>77</v>
      </c>
      <c r="C112" s="2" t="s">
        <v>56</v>
      </c>
      <c r="D112" s="6" t="n">
        <f aca="false">ROUND('Recurring Budgets'!F119*60,0)/1440</f>
        <v>0.177083333333333</v>
      </c>
      <c r="E112" s="7" t="n">
        <f aca="false">ROUND('Recurring Budgets'!F119*IF(H112="CFO",Assumptions!$B$5,Assumptions!$B$4),0)</f>
        <v>404</v>
      </c>
      <c r="F112" s="6" t="n">
        <f aca="false">ROUND('Recurring Budgets'!G119*60,0)/1440</f>
        <v>0.0104166666666667</v>
      </c>
      <c r="G112" s="7" t="n">
        <f aca="false">ROUND('Recurring Budgets'!G119*Assumptions!$B$5,0)</f>
        <v>63</v>
      </c>
      <c r="H112" s="8" t="str">
        <f aca="false">'Recurring Budgets'!L119</f>
        <v>Staff</v>
      </c>
    </row>
    <row r="113" customFormat="false" ht="15" hidden="false" customHeight="false" outlineLevel="0" collapsed="false">
      <c r="A113" s="2" t="s">
        <v>82</v>
      </c>
      <c r="B113" s="2" t="s">
        <v>14</v>
      </c>
      <c r="C113" s="2" t="s">
        <v>15</v>
      </c>
      <c r="D113" s="6" t="n">
        <f aca="false">ROUND('Recurring Budgets'!F120*60,0)/1440</f>
        <v>0.229166666666667</v>
      </c>
      <c r="E113" s="7" t="n">
        <f aca="false">ROUND('Recurring Budgets'!F120*IF(H113="CFO",Assumptions!$B$5,Assumptions!$B$4),0)</f>
        <v>523</v>
      </c>
      <c r="F113" s="6" t="n">
        <f aca="false">ROUND('Recurring Budgets'!G120*60,0)/1440</f>
        <v>0.025</v>
      </c>
      <c r="G113" s="7" t="n">
        <f aca="false">ROUND('Recurring Budgets'!G120*Assumptions!$B$5,0)</f>
        <v>150</v>
      </c>
      <c r="H113" s="8" t="str">
        <f aca="false">'Recurring Budgets'!L120</f>
        <v>Staff</v>
      </c>
    </row>
    <row r="114" customFormat="false" ht="15" hidden="false" customHeight="false" outlineLevel="0" collapsed="false">
      <c r="A114" s="2" t="s">
        <v>82</v>
      </c>
      <c r="B114" s="2" t="s">
        <v>49</v>
      </c>
      <c r="C114" s="2" t="s">
        <v>15</v>
      </c>
      <c r="D114" s="6" t="n">
        <f aca="false">ROUND('Recurring Budgets'!F121*60,0)/1440</f>
        <v>0.184027777777778</v>
      </c>
      <c r="E114" s="7" t="n">
        <f aca="false">ROUND('Recurring Budgets'!F121*IF(H114="CFO",Assumptions!$B$5,Assumptions!$B$4),0)</f>
        <v>420</v>
      </c>
      <c r="F114" s="6" t="n">
        <f aca="false">ROUND('Recurring Budgets'!G121*60,0)/1440</f>
        <v>0</v>
      </c>
      <c r="G114" s="7" t="n">
        <f aca="false">ROUND('Recurring Budgets'!G121*Assumptions!$B$5,0)</f>
        <v>0</v>
      </c>
      <c r="H114" s="8" t="str">
        <f aca="false">'Recurring Budgets'!L121</f>
        <v>Staff</v>
      </c>
    </row>
    <row r="115" customFormat="false" ht="15" hidden="false" customHeight="false" outlineLevel="0" collapsed="false">
      <c r="A115" s="2" t="s">
        <v>82</v>
      </c>
      <c r="B115" s="2" t="s">
        <v>79</v>
      </c>
      <c r="C115" s="2" t="s">
        <v>30</v>
      </c>
      <c r="D115" s="6" t="n">
        <f aca="false">ROUND('Recurring Budgets'!F122*60,0)/1440</f>
        <v>0.0451388888888889</v>
      </c>
      <c r="E115" s="7" t="n">
        <f aca="false">ROUND('Recurring Budgets'!F122*IF(H115="CFO",Assumptions!$B$5,Assumptions!$B$4),0)</f>
        <v>103</v>
      </c>
      <c r="F115" s="6" t="n">
        <f aca="false">ROUND('Recurring Budgets'!G122*60,0)/1440</f>
        <v>0.0104166666666667</v>
      </c>
      <c r="G115" s="7" t="n">
        <f aca="false">ROUND('Recurring Budgets'!G122*Assumptions!$B$5,0)</f>
        <v>63</v>
      </c>
      <c r="H115" s="8" t="str">
        <f aca="false">'Recurring Budgets'!L122</f>
        <v>Staff</v>
      </c>
    </row>
    <row r="116" customFormat="false" ht="15" hidden="false" customHeight="false" outlineLevel="0" collapsed="false">
      <c r="A116" s="2" t="s">
        <v>82</v>
      </c>
      <c r="B116" s="2" t="s">
        <v>80</v>
      </c>
      <c r="C116" s="2" t="s">
        <v>30</v>
      </c>
      <c r="D116" s="6" t="n">
        <f aca="false">ROUND('Recurring Budgets'!F123*60,0)/1440</f>
        <v>0.00694444444444444</v>
      </c>
      <c r="E116" s="7" t="n">
        <f aca="false">ROUND('Recurring Budgets'!F123*IF(H116="CFO",Assumptions!$B$5,Assumptions!$B$4),0)</f>
        <v>42</v>
      </c>
      <c r="F116" s="6" t="n">
        <f aca="false">ROUND('Recurring Budgets'!G123*60,0)/1440</f>
        <v>0</v>
      </c>
      <c r="G116" s="7" t="n">
        <f aca="false">ROUND('Recurring Budgets'!G123*Assumptions!$B$5,0)</f>
        <v>0</v>
      </c>
      <c r="H116" s="8" t="str">
        <f aca="false">'Recurring Budgets'!L123</f>
        <v>CFO</v>
      </c>
    </row>
    <row r="117" customFormat="false" ht="15" hidden="false" customHeight="false" outlineLevel="0" collapsed="false">
      <c r="A117" s="2" t="s">
        <v>83</v>
      </c>
      <c r="B117" s="2" t="s">
        <v>12</v>
      </c>
      <c r="C117" s="2" t="s">
        <v>13</v>
      </c>
      <c r="D117" s="6" t="n">
        <f aca="false">ROUND('Recurring Budgets'!F124*60,0)/1440</f>
        <v>0.03125</v>
      </c>
      <c r="E117" s="7" t="n">
        <f aca="false">ROUND('Recurring Budgets'!F124*IF(H117="CFO",Assumptions!$B$5,Assumptions!$B$4),0)</f>
        <v>71</v>
      </c>
      <c r="F117" s="6" t="n">
        <f aca="false">ROUND('Recurring Budgets'!G124*60,0)/1440</f>
        <v>0</v>
      </c>
      <c r="G117" s="7" t="n">
        <f aca="false">ROUND('Recurring Budgets'!G124*Assumptions!$B$5,0)</f>
        <v>0</v>
      </c>
      <c r="H117" s="8" t="str">
        <f aca="false">'Recurring Budgets'!L124</f>
        <v>Staff</v>
      </c>
    </row>
    <row r="118" customFormat="false" ht="15" hidden="false" customHeight="false" outlineLevel="0" collapsed="false">
      <c r="A118" s="2" t="s">
        <v>83</v>
      </c>
      <c r="B118" s="2" t="s">
        <v>17</v>
      </c>
      <c r="C118" s="2" t="s">
        <v>13</v>
      </c>
      <c r="D118" s="6" t="n">
        <f aca="false">ROUND('Recurring Budgets'!F125*60,0)/1440</f>
        <v>0.315972222222222</v>
      </c>
      <c r="E118" s="7" t="n">
        <f aca="false">ROUND('Recurring Budgets'!F125*IF(H118="CFO",Assumptions!$B$5,Assumptions!$B$4),0)</f>
        <v>720</v>
      </c>
      <c r="F118" s="6" t="n">
        <f aca="false">ROUND('Recurring Budgets'!G125*60,0)/1440</f>
        <v>0.0145833333333333</v>
      </c>
      <c r="G118" s="7" t="n">
        <f aca="false">ROUND('Recurring Budgets'!G125*Assumptions!$B$5,0)</f>
        <v>88</v>
      </c>
      <c r="H118" s="8"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2" t="s">
        <v>11</v>
      </c>
      <c r="B122" s="2" t="s">
        <v>85</v>
      </c>
      <c r="C122" s="2" t="s">
        <v>86</v>
      </c>
      <c r="D122" s="6" t="n">
        <f aca="false">ROUND('Open Items (Karbon)'!I3*60,0)/1440</f>
        <v>0.104166666666667</v>
      </c>
      <c r="E122" s="7" t="n">
        <f aca="false">ROUND('Open Items (Karbon)'!I3*IF(H122="CFO",Assumptions!$B$5,Assumptions!$B$4),0)</f>
        <v>238</v>
      </c>
      <c r="F122" s="6" t="n">
        <f aca="false">ROUND('Open Items (Karbon)'!J3*60,0)/1440</f>
        <v>0</v>
      </c>
      <c r="G122" s="7" t="n">
        <f aca="false">ROUND('Open Items (Karbon)'!J3*Assumptions!$B$5,0)</f>
        <v>0</v>
      </c>
      <c r="H122" s="9" t="s">
        <v>87</v>
      </c>
    </row>
    <row r="123" customFormat="false" ht="15" hidden="false" customHeight="false" outlineLevel="0" collapsed="false">
      <c r="A123" s="2" t="s">
        <v>16</v>
      </c>
      <c r="B123" s="2" t="s">
        <v>85</v>
      </c>
      <c r="C123" s="2" t="s">
        <v>86</v>
      </c>
      <c r="D123" s="6" t="n">
        <f aca="false">ROUND('Open Items (Karbon)'!I7*60,0)/1440</f>
        <v>0.104166666666667</v>
      </c>
      <c r="E123" s="7" t="n">
        <f aca="false">ROUND('Open Items (Karbon)'!I7*IF(H123="CFO",Assumptions!$B$5,Assumptions!$B$4),0)</f>
        <v>238</v>
      </c>
      <c r="F123" s="6" t="n">
        <f aca="false">ROUND('Open Items (Karbon)'!J7*60,0)/1440</f>
        <v>0</v>
      </c>
      <c r="G123" s="7" t="n">
        <f aca="false">ROUND('Open Items (Karbon)'!J7*Assumptions!$B$5,0)</f>
        <v>0</v>
      </c>
      <c r="H123" s="9" t="s">
        <v>87</v>
      </c>
    </row>
    <row r="124" customFormat="false" ht="15" hidden="false" customHeight="false" outlineLevel="0" collapsed="false">
      <c r="A124" s="2" t="s">
        <v>22</v>
      </c>
      <c r="B124" s="2" t="s">
        <v>85</v>
      </c>
      <c r="C124" s="2" t="s">
        <v>86</v>
      </c>
      <c r="D124" s="6" t="n">
        <f aca="false">ROUND('Open Items (Karbon)'!I10*60,0)/1440</f>
        <v>0.104166666666667</v>
      </c>
      <c r="E124" s="7" t="n">
        <f aca="false">ROUND('Open Items (Karbon)'!I10*IF(H124="CFO",Assumptions!$B$5,Assumptions!$B$4),0)</f>
        <v>238</v>
      </c>
      <c r="F124" s="6" t="n">
        <f aca="false">ROUND('Open Items (Karbon)'!J10*60,0)/1440</f>
        <v>0</v>
      </c>
      <c r="G124" s="7" t="n">
        <f aca="false">ROUND('Open Items (Karbon)'!J10*Assumptions!$B$5,0)</f>
        <v>0</v>
      </c>
      <c r="H124" s="9" t="s">
        <v>87</v>
      </c>
    </row>
    <row r="125" customFormat="false" ht="15" hidden="false" customHeight="false" outlineLevel="0" collapsed="false">
      <c r="A125" s="2" t="s">
        <v>23</v>
      </c>
      <c r="B125" s="2" t="s">
        <v>85</v>
      </c>
      <c r="C125" s="2" t="s">
        <v>86</v>
      </c>
      <c r="D125" s="6" t="n">
        <f aca="false">ROUND('Open Items (Karbon)'!I13*60,0)/1440</f>
        <v>0.104166666666667</v>
      </c>
      <c r="E125" s="7" t="n">
        <f aca="false">ROUND('Open Items (Karbon)'!I13*IF(H125="CFO",Assumptions!$B$5,Assumptions!$B$4),0)</f>
        <v>238</v>
      </c>
      <c r="F125" s="6" t="n">
        <f aca="false">ROUND('Open Items (Karbon)'!J13*60,0)/1440</f>
        <v>0</v>
      </c>
      <c r="G125" s="7" t="n">
        <f aca="false">ROUND('Open Items (Karbon)'!J13*Assumptions!$B$5,0)</f>
        <v>0</v>
      </c>
      <c r="H125" s="9" t="s">
        <v>87</v>
      </c>
    </row>
    <row r="126" customFormat="false" ht="15" hidden="false" customHeight="false" outlineLevel="0" collapsed="false">
      <c r="A126" s="2" t="s">
        <v>24</v>
      </c>
      <c r="B126" s="2" t="s">
        <v>85</v>
      </c>
      <c r="C126" s="2" t="s">
        <v>86</v>
      </c>
      <c r="D126" s="6" t="n">
        <f aca="false">ROUND('Open Items (Karbon)'!I15*60,0)/1440</f>
        <v>0.0625</v>
      </c>
      <c r="E126" s="7" t="n">
        <f aca="false">ROUND('Open Items (Karbon)'!I15*IF(H126="CFO",Assumptions!$B$5,Assumptions!$B$4),0)</f>
        <v>143</v>
      </c>
      <c r="F126" s="6" t="n">
        <f aca="false">ROUND('Open Items (Karbon)'!J15*60,0)/1440</f>
        <v>0</v>
      </c>
      <c r="G126" s="7" t="n">
        <f aca="false">ROUND('Open Items (Karbon)'!J15*Assumptions!$B$5,0)</f>
        <v>0</v>
      </c>
      <c r="H126" s="9" t="s">
        <v>87</v>
      </c>
    </row>
    <row r="127" customFormat="false" ht="15" hidden="false" customHeight="false" outlineLevel="0" collapsed="false">
      <c r="A127" s="2" t="s">
        <v>25</v>
      </c>
      <c r="B127" s="2" t="s">
        <v>85</v>
      </c>
      <c r="C127" s="2" t="s">
        <v>86</v>
      </c>
      <c r="D127" s="6" t="n">
        <f aca="false">ROUND('Open Items (Karbon)'!I17*60,0)/1440</f>
        <v>0.0236111111111111</v>
      </c>
      <c r="E127" s="7" t="n">
        <f aca="false">ROUND('Open Items (Karbon)'!I17*IF(H127="CFO",Assumptions!$B$5,Assumptions!$B$4),0)</f>
        <v>53</v>
      </c>
      <c r="F127" s="6" t="n">
        <f aca="false">ROUND('Open Items (Karbon)'!J17*60,0)/1440</f>
        <v>0</v>
      </c>
      <c r="G127" s="7" t="n">
        <f aca="false">ROUND('Open Items (Karbon)'!J17*Assumptions!$B$5,0)</f>
        <v>0</v>
      </c>
      <c r="H127" s="9" t="s">
        <v>87</v>
      </c>
    </row>
    <row r="128" customFormat="false" ht="15" hidden="false" customHeight="false" outlineLevel="0" collapsed="false">
      <c r="A128" s="2" t="s">
        <v>26</v>
      </c>
      <c r="B128" s="2" t="s">
        <v>85</v>
      </c>
      <c r="C128" s="2" t="s">
        <v>86</v>
      </c>
      <c r="D128" s="6" t="n">
        <f aca="false">ROUND('Open Items (Karbon)'!I19*60,0)/1440</f>
        <v>0.0236111111111111</v>
      </c>
      <c r="E128" s="7" t="n">
        <f aca="false">ROUND('Open Items (Karbon)'!I19*IF(H128="CFO",Assumptions!$B$5,Assumptions!$B$4),0)</f>
        <v>53</v>
      </c>
      <c r="F128" s="6" t="n">
        <f aca="false">ROUND('Open Items (Karbon)'!J19*60,0)/1440</f>
        <v>0</v>
      </c>
      <c r="G128" s="7" t="n">
        <f aca="false">ROUND('Open Items (Karbon)'!J19*Assumptions!$B$5,0)</f>
        <v>0</v>
      </c>
      <c r="H128" s="9" t="s">
        <v>87</v>
      </c>
    </row>
    <row r="129" customFormat="false" ht="15" hidden="false" customHeight="false" outlineLevel="0" collapsed="false">
      <c r="A129" s="2" t="s">
        <v>27</v>
      </c>
      <c r="B129" s="2" t="s">
        <v>85</v>
      </c>
      <c r="C129" s="2" t="s">
        <v>86</v>
      </c>
      <c r="D129" s="6" t="n">
        <f aca="false">ROUND('Open Items (Karbon)'!I23*60,0)/1440</f>
        <v>0.03125</v>
      </c>
      <c r="E129" s="7" t="n">
        <f aca="false">ROUND('Open Items (Karbon)'!I23*IF(H129="CFO",Assumptions!$B$5,Assumptions!$B$4),0)</f>
        <v>71</v>
      </c>
      <c r="F129" s="6" t="n">
        <f aca="false">ROUND('Open Items (Karbon)'!J23*60,0)/1440</f>
        <v>0</v>
      </c>
      <c r="G129" s="7" t="n">
        <f aca="false">ROUND('Open Items (Karbon)'!J23*Assumptions!$B$5,0)</f>
        <v>0</v>
      </c>
      <c r="H129" s="9" t="s">
        <v>87</v>
      </c>
    </row>
    <row r="130" customFormat="false" ht="15" hidden="false" customHeight="false" outlineLevel="0" collapsed="false">
      <c r="A130" s="2" t="s">
        <v>31</v>
      </c>
      <c r="B130" s="2" t="s">
        <v>85</v>
      </c>
      <c r="C130" s="2" t="s">
        <v>86</v>
      </c>
      <c r="D130" s="6" t="n">
        <f aca="false">ROUND('Open Items (Karbon)'!I27*60,0)/1440</f>
        <v>0.0833333333333333</v>
      </c>
      <c r="E130" s="7" t="n">
        <f aca="false">ROUND('Open Items (Karbon)'!I27*IF(H130="CFO",Assumptions!$B$5,Assumptions!$B$4),0)</f>
        <v>190</v>
      </c>
      <c r="F130" s="6" t="n">
        <f aca="false">ROUND('Open Items (Karbon)'!J27*60,0)/1440</f>
        <v>0</v>
      </c>
      <c r="G130" s="7" t="n">
        <f aca="false">ROUND('Open Items (Karbon)'!J27*Assumptions!$B$5,0)</f>
        <v>0</v>
      </c>
      <c r="H130" s="9" t="s">
        <v>87</v>
      </c>
    </row>
    <row r="131" customFormat="false" ht="15" hidden="false" customHeight="false" outlineLevel="0" collapsed="false">
      <c r="A131" s="2" t="s">
        <v>88</v>
      </c>
      <c r="B131" s="2" t="s">
        <v>89</v>
      </c>
      <c r="C131" s="2" t="s">
        <v>90</v>
      </c>
      <c r="D131" s="6" t="n">
        <f aca="false">ROUND('Open Items (Karbon)'!I30*60,0)/1440</f>
        <v>0.104166666666667</v>
      </c>
      <c r="E131" s="7" t="n">
        <f aca="false">ROUND('Open Items (Karbon)'!I30*IF(H131="CFO",Assumptions!$B$5,Assumptions!$B$4),0)</f>
        <v>238</v>
      </c>
      <c r="F131" s="6" t="n">
        <f aca="false">ROUND('Open Items (Karbon)'!J30*60,0)/1440</f>
        <v>0</v>
      </c>
      <c r="G131" s="7" t="n">
        <f aca="false">ROUND('Open Items (Karbon)'!J30*Assumptions!$B$5,0)</f>
        <v>0</v>
      </c>
      <c r="H131" s="9" t="s">
        <v>87</v>
      </c>
    </row>
    <row r="132" customFormat="false" ht="15" hidden="false" customHeight="false" outlineLevel="0" collapsed="false">
      <c r="A132" s="2" t="s">
        <v>33</v>
      </c>
      <c r="B132" s="2" t="s">
        <v>85</v>
      </c>
      <c r="C132" s="2" t="s">
        <v>86</v>
      </c>
      <c r="D132" s="6" t="n">
        <f aca="false">ROUND('Open Items (Karbon)'!I33*60,0)/1440</f>
        <v>0.03125</v>
      </c>
      <c r="E132" s="7" t="n">
        <f aca="false">ROUND('Open Items (Karbon)'!I33*IF(H132="CFO",Assumptions!$B$5,Assumptions!$B$4),0)</f>
        <v>71</v>
      </c>
      <c r="F132" s="6" t="n">
        <f aca="false">ROUND('Open Items (Karbon)'!J33*60,0)/1440</f>
        <v>0</v>
      </c>
      <c r="G132" s="7" t="n">
        <f aca="false">ROUND('Open Items (Karbon)'!J33*Assumptions!$B$5,0)</f>
        <v>0</v>
      </c>
      <c r="H132" s="9" t="s">
        <v>87</v>
      </c>
    </row>
    <row r="133" customFormat="false" ht="15" hidden="false" customHeight="false" outlineLevel="0" collapsed="false">
      <c r="A133" s="2" t="s">
        <v>34</v>
      </c>
      <c r="B133" s="2" t="s">
        <v>85</v>
      </c>
      <c r="C133" s="2" t="s">
        <v>86</v>
      </c>
      <c r="D133" s="6" t="n">
        <f aca="false">ROUND('Open Items (Karbon)'!I36*60,0)/1440</f>
        <v>0.03125</v>
      </c>
      <c r="E133" s="7" t="n">
        <f aca="false">ROUND('Open Items (Karbon)'!I36*IF(H133="CFO",Assumptions!$B$5,Assumptions!$B$4),0)</f>
        <v>71</v>
      </c>
      <c r="F133" s="6" t="n">
        <f aca="false">ROUND('Open Items (Karbon)'!J36*60,0)/1440</f>
        <v>0</v>
      </c>
      <c r="G133" s="7" t="n">
        <f aca="false">ROUND('Open Items (Karbon)'!J36*Assumptions!$B$5,0)</f>
        <v>0</v>
      </c>
      <c r="H133" s="9" t="s">
        <v>87</v>
      </c>
    </row>
    <row r="134" customFormat="false" ht="15" hidden="false" customHeight="false" outlineLevel="0" collapsed="false">
      <c r="A134" s="2" t="s">
        <v>35</v>
      </c>
      <c r="B134" s="2" t="s">
        <v>85</v>
      </c>
      <c r="C134" s="2" t="s">
        <v>86</v>
      </c>
      <c r="D134" s="6" t="n">
        <f aca="false">ROUND('Open Items (Karbon)'!I39*60,0)/1440</f>
        <v>0.0833333333333333</v>
      </c>
      <c r="E134" s="7" t="n">
        <f aca="false">ROUND('Open Items (Karbon)'!I39*IF(H134="CFO",Assumptions!$B$5,Assumptions!$B$4),0)</f>
        <v>190</v>
      </c>
      <c r="F134" s="6" t="n">
        <f aca="false">ROUND('Open Items (Karbon)'!J39*60,0)/1440</f>
        <v>0</v>
      </c>
      <c r="G134" s="7" t="n">
        <f aca="false">ROUND('Open Items (Karbon)'!J39*Assumptions!$B$5,0)</f>
        <v>0</v>
      </c>
      <c r="H134" s="9" t="s">
        <v>87</v>
      </c>
    </row>
    <row r="135" customFormat="false" ht="15" hidden="false" customHeight="false" outlineLevel="0" collapsed="false">
      <c r="A135" s="2" t="s">
        <v>91</v>
      </c>
      <c r="B135" s="2" t="s">
        <v>92</v>
      </c>
      <c r="C135" s="2" t="s">
        <v>90</v>
      </c>
      <c r="D135" s="6" t="n">
        <f aca="false">ROUND('Open Items (Karbon)'!I40*60,0)/1440</f>
        <v>0.0208333333333333</v>
      </c>
      <c r="E135" s="7" t="n">
        <f aca="false">ROUND('Open Items (Karbon)'!I40*IF(H135="CFO",Assumptions!$B$5,Assumptions!$B$4),0)</f>
        <v>48</v>
      </c>
      <c r="F135" s="6" t="n">
        <f aca="false">ROUND('Open Items (Karbon)'!J40*60,0)/1440</f>
        <v>0</v>
      </c>
      <c r="G135" s="7" t="n">
        <f aca="false">ROUND('Open Items (Karbon)'!J40*Assumptions!$B$5,0)</f>
        <v>0</v>
      </c>
      <c r="H135" s="9" t="s">
        <v>87</v>
      </c>
    </row>
    <row r="136" customFormat="false" ht="15" hidden="false" customHeight="false" outlineLevel="0" collapsed="false">
      <c r="A136" s="2" t="s">
        <v>91</v>
      </c>
      <c r="B136" s="2" t="s">
        <v>93</v>
      </c>
      <c r="C136" s="2" t="s">
        <v>90</v>
      </c>
      <c r="D136" s="6" t="n">
        <f aca="false">ROUND('Open Items (Karbon)'!I41*60,0)/1440</f>
        <v>0.0208333333333333</v>
      </c>
      <c r="E136" s="7" t="n">
        <f aca="false">ROUND('Open Items (Karbon)'!I41*IF(H136="CFO",Assumptions!$B$5,Assumptions!$B$4),0)</f>
        <v>48</v>
      </c>
      <c r="F136" s="6" t="n">
        <f aca="false">ROUND('Open Items (Karbon)'!J41*60,0)/1440</f>
        <v>0</v>
      </c>
      <c r="G136" s="7" t="n">
        <f aca="false">ROUND('Open Items (Karbon)'!J41*Assumptions!$B$5,0)</f>
        <v>0</v>
      </c>
      <c r="H136" s="9" t="s">
        <v>87</v>
      </c>
    </row>
    <row r="137" customFormat="false" ht="15" hidden="false" customHeight="false" outlineLevel="0" collapsed="false">
      <c r="A137" s="2" t="s">
        <v>36</v>
      </c>
      <c r="B137" s="2" t="s">
        <v>94</v>
      </c>
      <c r="C137" s="2" t="s">
        <v>90</v>
      </c>
      <c r="D137" s="6" t="n">
        <f aca="false">ROUND('Open Items (Karbon)'!I42*60,0)/1440</f>
        <v>0.416666666666667</v>
      </c>
      <c r="E137" s="7" t="n">
        <f aca="false">ROUND('Open Items (Karbon)'!I42*IF(H137="CFO",Assumptions!$B$5,Assumptions!$B$4),0)</f>
        <v>950</v>
      </c>
      <c r="F137" s="6" t="n">
        <f aca="false">ROUND('Open Items (Karbon)'!J42*60,0)/1440</f>
        <v>0</v>
      </c>
      <c r="G137" s="7" t="n">
        <f aca="false">ROUND('Open Items (Karbon)'!J42*Assumptions!$B$5,0)</f>
        <v>0</v>
      </c>
      <c r="H137" s="9" t="s">
        <v>87</v>
      </c>
    </row>
    <row r="138" customFormat="false" ht="15" hidden="false" customHeight="false" outlineLevel="0" collapsed="false">
      <c r="A138" s="2" t="s">
        <v>36</v>
      </c>
      <c r="B138" s="2" t="s">
        <v>85</v>
      </c>
      <c r="C138" s="2" t="s">
        <v>86</v>
      </c>
      <c r="D138" s="6" t="n">
        <f aca="false">ROUND('Open Items (Karbon)'!I44*60,0)/1440</f>
        <v>0.166666666666667</v>
      </c>
      <c r="E138" s="7" t="n">
        <f aca="false">ROUND('Open Items (Karbon)'!I44*IF(H138="CFO",Assumptions!$B$5,Assumptions!$B$4),0)</f>
        <v>380</v>
      </c>
      <c r="F138" s="6" t="n">
        <f aca="false">ROUND('Open Items (Karbon)'!J44*60,0)/1440</f>
        <v>0</v>
      </c>
      <c r="G138" s="7" t="n">
        <f aca="false">ROUND('Open Items (Karbon)'!J44*Assumptions!$B$5,0)</f>
        <v>0</v>
      </c>
      <c r="H138" s="9" t="s">
        <v>87</v>
      </c>
    </row>
    <row r="139" customFormat="false" ht="15" hidden="false" customHeight="false" outlineLevel="0" collapsed="false">
      <c r="A139" s="2" t="s">
        <v>37</v>
      </c>
      <c r="B139" s="2" t="s">
        <v>95</v>
      </c>
      <c r="C139" s="2" t="s">
        <v>90</v>
      </c>
      <c r="D139" s="6" t="n">
        <f aca="false">ROUND('Open Items (Karbon)'!I45*60,0)/1440</f>
        <v>0.229166666666667</v>
      </c>
      <c r="E139" s="7" t="n">
        <f aca="false">ROUND('Open Items (Karbon)'!I45*IF(H139="CFO",Assumptions!$B$5,Assumptions!$B$4),0)</f>
        <v>523</v>
      </c>
      <c r="F139" s="6" t="n">
        <f aca="false">ROUND('Open Items (Karbon)'!J45*60,0)/1440</f>
        <v>0</v>
      </c>
      <c r="G139" s="7" t="n">
        <f aca="false">ROUND('Open Items (Karbon)'!J45*Assumptions!$B$5,0)</f>
        <v>0</v>
      </c>
      <c r="H139" s="9" t="s">
        <v>87</v>
      </c>
    </row>
    <row r="140" customFormat="false" ht="15" hidden="false" customHeight="false" outlineLevel="0" collapsed="false">
      <c r="A140" s="2" t="s">
        <v>37</v>
      </c>
      <c r="B140" s="2" t="s">
        <v>85</v>
      </c>
      <c r="C140" s="2" t="s">
        <v>86</v>
      </c>
      <c r="D140" s="6" t="n">
        <f aca="false">ROUND('Open Items (Karbon)'!I47*60,0)/1440</f>
        <v>0.03125</v>
      </c>
      <c r="E140" s="7" t="n">
        <f aca="false">ROUND('Open Items (Karbon)'!I47*IF(H140="CFO",Assumptions!$B$5,Assumptions!$B$4),0)</f>
        <v>71</v>
      </c>
      <c r="F140" s="6" t="n">
        <f aca="false">ROUND('Open Items (Karbon)'!J47*60,0)/1440</f>
        <v>0</v>
      </c>
      <c r="G140" s="7" t="n">
        <f aca="false">ROUND('Open Items (Karbon)'!J47*Assumptions!$B$5,0)</f>
        <v>0</v>
      </c>
      <c r="H140" s="9" t="s">
        <v>87</v>
      </c>
    </row>
    <row r="141" customFormat="false" ht="15" hidden="false" customHeight="false" outlineLevel="0" collapsed="false">
      <c r="A141" s="2" t="s">
        <v>38</v>
      </c>
      <c r="B141" s="2" t="s">
        <v>85</v>
      </c>
      <c r="C141" s="2" t="s">
        <v>86</v>
      </c>
      <c r="D141" s="6" t="n">
        <f aca="false">ROUND('Open Items (Karbon)'!I49*60,0)/1440</f>
        <v>0.166666666666667</v>
      </c>
      <c r="E141" s="7" t="n">
        <f aca="false">ROUND('Open Items (Karbon)'!I49*IF(H141="CFO",Assumptions!$B$5,Assumptions!$B$4),0)</f>
        <v>380</v>
      </c>
      <c r="F141" s="6" t="n">
        <f aca="false">ROUND('Open Items (Karbon)'!J49*60,0)/1440</f>
        <v>0</v>
      </c>
      <c r="G141" s="7" t="n">
        <f aca="false">ROUND('Open Items (Karbon)'!J49*Assumptions!$B$5,0)</f>
        <v>0</v>
      </c>
      <c r="H141" s="9" t="s">
        <v>87</v>
      </c>
    </row>
    <row r="142" customFormat="false" ht="15" hidden="false" customHeight="false" outlineLevel="0" collapsed="false">
      <c r="A142" s="2" t="s">
        <v>39</v>
      </c>
      <c r="B142" s="2" t="s">
        <v>85</v>
      </c>
      <c r="C142" s="2" t="s">
        <v>86</v>
      </c>
      <c r="D142" s="6" t="n">
        <f aca="false">ROUND('Open Items (Karbon)'!I51*60,0)/1440</f>
        <v>0.03125</v>
      </c>
      <c r="E142" s="7" t="n">
        <f aca="false">ROUND('Open Items (Karbon)'!I51*IF(H142="CFO",Assumptions!$B$5,Assumptions!$B$4),0)</f>
        <v>71</v>
      </c>
      <c r="F142" s="6" t="n">
        <f aca="false">ROUND('Open Items (Karbon)'!J51*60,0)/1440</f>
        <v>0</v>
      </c>
      <c r="G142" s="7" t="n">
        <f aca="false">ROUND('Open Items (Karbon)'!J51*Assumptions!$B$5,0)</f>
        <v>0</v>
      </c>
      <c r="H142" s="9" t="s">
        <v>87</v>
      </c>
    </row>
    <row r="143" customFormat="false" ht="15" hidden="false" customHeight="false" outlineLevel="0" collapsed="false">
      <c r="A143" s="2" t="s">
        <v>40</v>
      </c>
      <c r="B143" s="2" t="s">
        <v>85</v>
      </c>
      <c r="C143" s="2" t="s">
        <v>86</v>
      </c>
      <c r="D143" s="6" t="n">
        <f aca="false">ROUND('Open Items (Karbon)'!I54*60,0)/1440</f>
        <v>0.0472222222222222</v>
      </c>
      <c r="E143" s="7" t="n">
        <f aca="false">ROUND('Open Items (Karbon)'!I54*IF(H143="CFO",Assumptions!$B$5,Assumptions!$B$4),0)</f>
        <v>107</v>
      </c>
      <c r="F143" s="6" t="n">
        <f aca="false">ROUND('Open Items (Karbon)'!J54*60,0)/1440</f>
        <v>0</v>
      </c>
      <c r="G143" s="7" t="n">
        <f aca="false">ROUND('Open Items (Karbon)'!J54*Assumptions!$B$5,0)</f>
        <v>0</v>
      </c>
      <c r="H143" s="9" t="s">
        <v>87</v>
      </c>
    </row>
    <row r="144" customFormat="false" ht="15" hidden="false" customHeight="false" outlineLevel="0" collapsed="false">
      <c r="A144" s="2" t="s">
        <v>43</v>
      </c>
      <c r="B144" s="2" t="s">
        <v>96</v>
      </c>
      <c r="C144" s="2" t="s">
        <v>90</v>
      </c>
      <c r="D144" s="6" t="n">
        <f aca="false">ROUND('Open Items (Karbon)'!I58*60,0)/1440</f>
        <v>0.03125</v>
      </c>
      <c r="E144" s="7" t="n">
        <f aca="false">ROUND('Open Items (Karbon)'!I58*IF(H144="CFO",Assumptions!$B$5,Assumptions!$B$4),0)</f>
        <v>71</v>
      </c>
      <c r="F144" s="6" t="n">
        <f aca="false">ROUND('Open Items (Karbon)'!J58*60,0)/1440</f>
        <v>0</v>
      </c>
      <c r="G144" s="7" t="n">
        <f aca="false">ROUND('Open Items (Karbon)'!J58*Assumptions!$B$5,0)</f>
        <v>0</v>
      </c>
      <c r="H144" s="9" t="s">
        <v>87</v>
      </c>
    </row>
    <row r="145" customFormat="false" ht="15" hidden="false" customHeight="false" outlineLevel="0" collapsed="false">
      <c r="A145" s="2" t="s">
        <v>43</v>
      </c>
      <c r="B145" s="2" t="s">
        <v>97</v>
      </c>
      <c r="C145" s="2" t="s">
        <v>90</v>
      </c>
      <c r="D145" s="6" t="n">
        <f aca="false">ROUND('Open Items (Karbon)'!I60*60,0)/1440</f>
        <v>0.333333333333333</v>
      </c>
      <c r="E145" s="7" t="n">
        <f aca="false">ROUND('Open Items (Karbon)'!I60*IF(H145="CFO",Assumptions!$B$5,Assumptions!$B$4),0)</f>
        <v>760</v>
      </c>
      <c r="F145" s="6" t="n">
        <f aca="false">ROUND('Open Items (Karbon)'!J60*60,0)/1440</f>
        <v>0</v>
      </c>
      <c r="G145" s="7" t="n">
        <f aca="false">ROUND('Open Items (Karbon)'!J60*Assumptions!$B$5,0)</f>
        <v>0</v>
      </c>
      <c r="H145" s="9" t="s">
        <v>87</v>
      </c>
    </row>
    <row r="146" customFormat="false" ht="15" hidden="false" customHeight="false" outlineLevel="0" collapsed="false">
      <c r="A146" s="2" t="s">
        <v>43</v>
      </c>
      <c r="B146" s="2" t="s">
        <v>85</v>
      </c>
      <c r="C146" s="2" t="s">
        <v>86</v>
      </c>
      <c r="D146" s="6" t="n">
        <f aca="false">ROUND('Open Items (Karbon)'!I64*60,0)/1440</f>
        <v>0.125</v>
      </c>
      <c r="E146" s="7" t="n">
        <f aca="false">ROUND('Open Items (Karbon)'!I64*IF(H146="CFO",Assumptions!$B$5,Assumptions!$B$4),0)</f>
        <v>285</v>
      </c>
      <c r="F146" s="6" t="n">
        <f aca="false">ROUND('Open Items (Karbon)'!J64*60,0)/1440</f>
        <v>0</v>
      </c>
      <c r="G146" s="7" t="n">
        <f aca="false">ROUND('Open Items (Karbon)'!J64*Assumptions!$B$5,0)</f>
        <v>0</v>
      </c>
      <c r="H146" s="9" t="s">
        <v>87</v>
      </c>
    </row>
    <row r="147" customFormat="false" ht="15" hidden="false" customHeight="false" outlineLevel="0" collapsed="false">
      <c r="A147" s="2" t="s">
        <v>45</v>
      </c>
      <c r="B147" s="2" t="s">
        <v>98</v>
      </c>
      <c r="C147" s="2" t="s">
        <v>90</v>
      </c>
      <c r="D147" s="6" t="n">
        <f aca="false">ROUND('Open Items (Karbon)'!I65*60,0)/1440</f>
        <v>0.125</v>
      </c>
      <c r="E147" s="7" t="n">
        <f aca="false">ROUND('Open Items (Karbon)'!I65*IF(H147="CFO",Assumptions!$B$5,Assumptions!$B$4),0)</f>
        <v>285</v>
      </c>
      <c r="F147" s="6" t="n">
        <f aca="false">ROUND('Open Items (Karbon)'!J65*60,0)/1440</f>
        <v>0</v>
      </c>
      <c r="G147" s="7" t="n">
        <f aca="false">ROUND('Open Items (Karbon)'!J65*Assumptions!$B$5,0)</f>
        <v>0</v>
      </c>
      <c r="H147" s="9" t="s">
        <v>87</v>
      </c>
    </row>
    <row r="148" customFormat="false" ht="15" hidden="false" customHeight="false" outlineLevel="0" collapsed="false">
      <c r="A148" s="2" t="s">
        <v>45</v>
      </c>
      <c r="B148" s="2" t="s">
        <v>85</v>
      </c>
      <c r="C148" s="2" t="s">
        <v>86</v>
      </c>
      <c r="D148" s="6" t="n">
        <f aca="false">ROUND('Open Items (Karbon)'!I66*60,0)/1440</f>
        <v>0.166666666666667</v>
      </c>
      <c r="E148" s="7" t="n">
        <f aca="false">ROUND('Open Items (Karbon)'!I66*IF(H148="CFO",Assumptions!$B$5,Assumptions!$B$4),0)</f>
        <v>380</v>
      </c>
      <c r="F148" s="6" t="n">
        <f aca="false">ROUND('Open Items (Karbon)'!J66*60,0)/1440</f>
        <v>0</v>
      </c>
      <c r="G148" s="7" t="n">
        <f aca="false">ROUND('Open Items (Karbon)'!J66*Assumptions!$B$5,0)</f>
        <v>0</v>
      </c>
      <c r="H148" s="9" t="s">
        <v>87</v>
      </c>
    </row>
    <row r="149" customFormat="false" ht="15" hidden="false" customHeight="false" outlineLevel="0" collapsed="false">
      <c r="A149" s="2" t="s">
        <v>46</v>
      </c>
      <c r="B149" s="2" t="s">
        <v>85</v>
      </c>
      <c r="C149" s="2" t="s">
        <v>86</v>
      </c>
      <c r="D149" s="6" t="n">
        <f aca="false">ROUND('Open Items (Karbon)'!I69*60,0)/1440</f>
        <v>0.0625</v>
      </c>
      <c r="E149" s="7" t="n">
        <f aca="false">ROUND('Open Items (Karbon)'!I69*IF(H149="CFO",Assumptions!$B$5,Assumptions!$B$4),0)</f>
        <v>143</v>
      </c>
      <c r="F149" s="6" t="n">
        <f aca="false">ROUND('Open Items (Karbon)'!J69*60,0)/1440</f>
        <v>0</v>
      </c>
      <c r="G149" s="7" t="n">
        <f aca="false">ROUND('Open Items (Karbon)'!J69*Assumptions!$B$5,0)</f>
        <v>0</v>
      </c>
      <c r="H149" s="9" t="s">
        <v>87</v>
      </c>
    </row>
    <row r="150" customFormat="false" ht="15" hidden="false" customHeight="false" outlineLevel="0" collapsed="false">
      <c r="A150" s="2" t="s">
        <v>47</v>
      </c>
      <c r="B150" s="2" t="s">
        <v>85</v>
      </c>
      <c r="C150" s="2" t="s">
        <v>86</v>
      </c>
      <c r="D150" s="6" t="n">
        <f aca="false">ROUND('Open Items (Karbon)'!I88*60,0)/1440</f>
        <v>0.0159722222222222</v>
      </c>
      <c r="E150" s="7" t="n">
        <f aca="false">ROUND('Open Items (Karbon)'!I88*IF(H150="CFO",Assumptions!$B$5,Assumptions!$B$4),0)</f>
        <v>36</v>
      </c>
      <c r="F150" s="6" t="n">
        <f aca="false">ROUND('Open Items (Karbon)'!J88*60,0)/1440</f>
        <v>0</v>
      </c>
      <c r="G150" s="7" t="n">
        <f aca="false">ROUND('Open Items (Karbon)'!J88*Assumptions!$B$5,0)</f>
        <v>0</v>
      </c>
      <c r="H150" s="9" t="s">
        <v>87</v>
      </c>
    </row>
    <row r="151" customFormat="false" ht="15" hidden="false" customHeight="false" outlineLevel="0" collapsed="false">
      <c r="A151" s="2" t="s">
        <v>99</v>
      </c>
      <c r="B151" s="2" t="s">
        <v>100</v>
      </c>
      <c r="C151" s="2" t="s">
        <v>90</v>
      </c>
      <c r="D151" s="6" t="n">
        <f aca="false">ROUND('Open Items (Karbon)'!I89*60,0)/1440</f>
        <v>0.229166666666667</v>
      </c>
      <c r="E151" s="7" t="n">
        <f aca="false">ROUND('Open Items (Karbon)'!I89*IF(H151="CFO",Assumptions!$B$5,Assumptions!$B$4),0)</f>
        <v>523</v>
      </c>
      <c r="F151" s="6" t="n">
        <f aca="false">ROUND('Open Items (Karbon)'!J89*60,0)/1440</f>
        <v>0</v>
      </c>
      <c r="G151" s="7" t="n">
        <f aca="false">ROUND('Open Items (Karbon)'!J89*Assumptions!$B$5,0)</f>
        <v>0</v>
      </c>
      <c r="H151" s="9" t="s">
        <v>87</v>
      </c>
    </row>
    <row r="152" customFormat="false" ht="15" hidden="false" customHeight="false" outlineLevel="0" collapsed="false">
      <c r="A152" s="2" t="s">
        <v>48</v>
      </c>
      <c r="B152" s="2" t="s">
        <v>85</v>
      </c>
      <c r="C152" s="2" t="s">
        <v>86</v>
      </c>
      <c r="D152" s="6" t="n">
        <f aca="false">ROUND('Open Items (Karbon)'!I92*60,0)/1440</f>
        <v>0.0236111111111111</v>
      </c>
      <c r="E152" s="7" t="n">
        <f aca="false">ROUND('Open Items (Karbon)'!I92*IF(H152="CFO",Assumptions!$B$5,Assumptions!$B$4),0)</f>
        <v>53</v>
      </c>
      <c r="F152" s="6" t="n">
        <f aca="false">ROUND('Open Items (Karbon)'!J92*60,0)/1440</f>
        <v>0</v>
      </c>
      <c r="G152" s="7" t="n">
        <f aca="false">ROUND('Open Items (Karbon)'!J92*Assumptions!$B$5,0)</f>
        <v>0</v>
      </c>
      <c r="H152" s="9" t="s">
        <v>87</v>
      </c>
    </row>
    <row r="153" customFormat="false" ht="15" hidden="false" customHeight="false" outlineLevel="0" collapsed="false">
      <c r="A153" s="2" t="s">
        <v>50</v>
      </c>
      <c r="B153" s="2" t="s">
        <v>96</v>
      </c>
      <c r="C153" s="2" t="s">
        <v>90</v>
      </c>
      <c r="D153" s="6" t="n">
        <f aca="false">ROUND('Open Items (Karbon)'!I93*60,0)/1440</f>
        <v>0.03125</v>
      </c>
      <c r="E153" s="7" t="n">
        <f aca="false">ROUND('Open Items (Karbon)'!I93*IF(H153="CFO",Assumptions!$B$5,Assumptions!$B$4),0)</f>
        <v>71</v>
      </c>
      <c r="F153" s="6" t="n">
        <f aca="false">ROUND('Open Items (Karbon)'!J93*60,0)/1440</f>
        <v>0</v>
      </c>
      <c r="G153" s="7" t="n">
        <f aca="false">ROUND('Open Items (Karbon)'!J93*Assumptions!$B$5,0)</f>
        <v>0</v>
      </c>
      <c r="H153" s="9" t="s">
        <v>87</v>
      </c>
    </row>
    <row r="154" customFormat="false" ht="15" hidden="false" customHeight="false" outlineLevel="0" collapsed="false">
      <c r="A154" s="2" t="s">
        <v>50</v>
      </c>
      <c r="B154" s="2" t="s">
        <v>85</v>
      </c>
      <c r="C154" s="2" t="s">
        <v>86</v>
      </c>
      <c r="D154" s="6" t="n">
        <f aca="false">ROUND('Open Items (Karbon)'!I98*60,0)/1440</f>
        <v>0.125</v>
      </c>
      <c r="E154" s="7" t="n">
        <f aca="false">ROUND('Open Items (Karbon)'!I98*IF(H154="CFO",Assumptions!$B$5,Assumptions!$B$4),0)</f>
        <v>285</v>
      </c>
      <c r="F154" s="6" t="n">
        <f aca="false">ROUND('Open Items (Karbon)'!J98*60,0)/1440</f>
        <v>0</v>
      </c>
      <c r="G154" s="7" t="n">
        <f aca="false">ROUND('Open Items (Karbon)'!J98*Assumptions!$B$5,0)</f>
        <v>0</v>
      </c>
      <c r="H154" s="9" t="s">
        <v>87</v>
      </c>
    </row>
    <row r="155" customFormat="false" ht="15" hidden="false" customHeight="false" outlineLevel="0" collapsed="false">
      <c r="A155" s="2" t="s">
        <v>52</v>
      </c>
      <c r="B155" s="2" t="s">
        <v>85</v>
      </c>
      <c r="C155" s="2" t="s">
        <v>86</v>
      </c>
      <c r="D155" s="6" t="n">
        <f aca="false">ROUND('Open Items (Karbon)'!I100*60,0)/1440</f>
        <v>0.0625</v>
      </c>
      <c r="E155" s="7" t="n">
        <f aca="false">ROUND('Open Items (Karbon)'!I100*IF(H155="CFO",Assumptions!$B$5,Assumptions!$B$4),0)</f>
        <v>143</v>
      </c>
      <c r="F155" s="6" t="n">
        <f aca="false">ROUND('Open Items (Karbon)'!J100*60,0)/1440</f>
        <v>0</v>
      </c>
      <c r="G155" s="7" t="n">
        <f aca="false">ROUND('Open Items (Karbon)'!J100*Assumptions!$B$5,0)</f>
        <v>0</v>
      </c>
      <c r="H155" s="9" t="s">
        <v>87</v>
      </c>
    </row>
    <row r="156" customFormat="false" ht="15" hidden="false" customHeight="false" outlineLevel="0" collapsed="false">
      <c r="A156" s="2" t="s">
        <v>53</v>
      </c>
      <c r="B156" s="2" t="s">
        <v>85</v>
      </c>
      <c r="C156" s="2" t="s">
        <v>86</v>
      </c>
      <c r="D156" s="6" t="n">
        <f aca="false">ROUND('Open Items (Karbon)'!I102*60,0)/1440</f>
        <v>0.166666666666667</v>
      </c>
      <c r="E156" s="7" t="n">
        <f aca="false">ROUND('Open Items (Karbon)'!I102*IF(H156="CFO",Assumptions!$B$5,Assumptions!$B$4),0)</f>
        <v>380</v>
      </c>
      <c r="F156" s="6" t="n">
        <f aca="false">ROUND('Open Items (Karbon)'!J102*60,0)/1440</f>
        <v>0</v>
      </c>
      <c r="G156" s="7" t="n">
        <f aca="false">ROUND('Open Items (Karbon)'!J102*Assumptions!$B$5,0)</f>
        <v>0</v>
      </c>
      <c r="H156" s="9" t="s">
        <v>87</v>
      </c>
    </row>
    <row r="157" customFormat="false" ht="15" hidden="false" customHeight="false" outlineLevel="0" collapsed="false">
      <c r="A157" s="2" t="s">
        <v>54</v>
      </c>
      <c r="B157" s="2" t="s">
        <v>101</v>
      </c>
      <c r="C157" s="2" t="s">
        <v>90</v>
      </c>
      <c r="D157" s="6" t="n">
        <f aca="false">ROUND('Open Items (Karbon)'!I103*60,0)/1440</f>
        <v>0.333333333333333</v>
      </c>
      <c r="E157" s="7" t="n">
        <f aca="false">ROUND('Open Items (Karbon)'!I103*IF(H157="CFO",Assumptions!$B$5,Assumptions!$B$4),0)</f>
        <v>760</v>
      </c>
      <c r="F157" s="6" t="n">
        <f aca="false">ROUND('Open Items (Karbon)'!J103*60,0)/1440</f>
        <v>0.0208333333333333</v>
      </c>
      <c r="G157" s="7" t="n">
        <f aca="false">ROUND('Open Items (Karbon)'!J103*Assumptions!$B$5,0)</f>
        <v>125</v>
      </c>
      <c r="H157" s="9" t="s">
        <v>87</v>
      </c>
    </row>
    <row r="158" customFormat="false" ht="15" hidden="false" customHeight="false" outlineLevel="0" collapsed="false">
      <c r="A158" s="2" t="s">
        <v>54</v>
      </c>
      <c r="B158" s="2" t="s">
        <v>102</v>
      </c>
      <c r="C158" s="2" t="s">
        <v>90</v>
      </c>
      <c r="D158" s="6" t="n">
        <f aca="false">ROUND('Open Items (Karbon)'!I104*60,0)/1440</f>
        <v>0.416666666666667</v>
      </c>
      <c r="E158" s="7" t="n">
        <f aca="false">ROUND('Open Items (Karbon)'!I104*IF(H158="CFO",Assumptions!$B$5,Assumptions!$B$4),0)</f>
        <v>950</v>
      </c>
      <c r="F158" s="6" t="n">
        <f aca="false">ROUND('Open Items (Karbon)'!J104*60,0)/1440</f>
        <v>0</v>
      </c>
      <c r="G158" s="7" t="n">
        <f aca="false">ROUND('Open Items (Karbon)'!J104*Assumptions!$B$5,0)</f>
        <v>0</v>
      </c>
      <c r="H158" s="9" t="s">
        <v>87</v>
      </c>
    </row>
    <row r="159" customFormat="false" ht="15" hidden="false" customHeight="false" outlineLevel="0" collapsed="false">
      <c r="A159" s="2" t="s">
        <v>54</v>
      </c>
      <c r="B159" s="2" t="s">
        <v>85</v>
      </c>
      <c r="C159" s="2" t="s">
        <v>86</v>
      </c>
      <c r="D159" s="6" t="n">
        <f aca="false">ROUND('Open Items (Karbon)'!I107*60,0)/1440</f>
        <v>0.166666666666667</v>
      </c>
      <c r="E159" s="7" t="n">
        <f aca="false">ROUND('Open Items (Karbon)'!I107*IF(H159="CFO",Assumptions!$B$5,Assumptions!$B$4),0)</f>
        <v>380</v>
      </c>
      <c r="F159" s="6" t="n">
        <f aca="false">ROUND('Open Items (Karbon)'!J107*60,0)/1440</f>
        <v>0</v>
      </c>
      <c r="G159" s="7" t="n">
        <f aca="false">ROUND('Open Items (Karbon)'!J107*Assumptions!$B$5,0)</f>
        <v>0</v>
      </c>
      <c r="H159" s="9" t="s">
        <v>87</v>
      </c>
    </row>
    <row r="160" customFormat="false" ht="15" hidden="false" customHeight="false" outlineLevel="0" collapsed="false">
      <c r="A160" s="2" t="s">
        <v>58</v>
      </c>
      <c r="B160" s="2" t="s">
        <v>85</v>
      </c>
      <c r="C160" s="2" t="s">
        <v>86</v>
      </c>
      <c r="D160" s="6" t="n">
        <f aca="false">ROUND('Open Items (Karbon)'!I109*60,0)/1440</f>
        <v>0.0625</v>
      </c>
      <c r="E160" s="7" t="n">
        <f aca="false">ROUND('Open Items (Karbon)'!I109*IF(H160="CFO",Assumptions!$B$5,Assumptions!$B$4),0)</f>
        <v>143</v>
      </c>
      <c r="F160" s="6" t="n">
        <f aca="false">ROUND('Open Items (Karbon)'!J109*60,0)/1440</f>
        <v>0</v>
      </c>
      <c r="G160" s="7" t="n">
        <f aca="false">ROUND('Open Items (Karbon)'!J109*Assumptions!$B$5,0)</f>
        <v>0</v>
      </c>
      <c r="H160" s="9" t="s">
        <v>87</v>
      </c>
    </row>
    <row r="161" customFormat="false" ht="15" hidden="false" customHeight="false" outlineLevel="0" collapsed="false">
      <c r="A161" s="2" t="s">
        <v>61</v>
      </c>
      <c r="B161" s="2" t="s">
        <v>85</v>
      </c>
      <c r="C161" s="2" t="s">
        <v>86</v>
      </c>
      <c r="D161" s="6" t="n">
        <f aca="false">ROUND('Open Items (Karbon)'!I113*60,0)/1440</f>
        <v>0.166666666666667</v>
      </c>
      <c r="E161" s="7" t="n">
        <f aca="false">ROUND('Open Items (Karbon)'!I113*IF(H161="CFO",Assumptions!$B$5,Assumptions!$B$4),0)</f>
        <v>380</v>
      </c>
      <c r="F161" s="6" t="n">
        <f aca="false">ROUND('Open Items (Karbon)'!J113*60,0)/1440</f>
        <v>0</v>
      </c>
      <c r="G161" s="7" t="n">
        <f aca="false">ROUND('Open Items (Karbon)'!J113*Assumptions!$B$5,0)</f>
        <v>0</v>
      </c>
      <c r="H161" s="9" t="s">
        <v>87</v>
      </c>
    </row>
    <row r="162" customFormat="false" ht="15" hidden="false" customHeight="false" outlineLevel="0" collapsed="false">
      <c r="A162" s="2" t="s">
        <v>64</v>
      </c>
      <c r="B162" s="2" t="s">
        <v>103</v>
      </c>
      <c r="C162" s="2" t="s">
        <v>90</v>
      </c>
      <c r="D162" s="6" t="n">
        <f aca="false">ROUND('Open Items (Karbon)'!I118*60,0)/1440</f>
        <v>0.229166666666667</v>
      </c>
      <c r="E162" s="7" t="n">
        <f aca="false">ROUND('Open Items (Karbon)'!I118*IF(H162="CFO",Assumptions!$B$5,Assumptions!$B$4),0)</f>
        <v>523</v>
      </c>
      <c r="F162" s="6" t="n">
        <f aca="false">ROUND('Open Items (Karbon)'!J118*60,0)/1440</f>
        <v>0</v>
      </c>
      <c r="G162" s="7" t="n">
        <f aca="false">ROUND('Open Items (Karbon)'!J118*Assumptions!$B$5,0)</f>
        <v>0</v>
      </c>
      <c r="H162" s="9" t="s">
        <v>87</v>
      </c>
    </row>
    <row r="163" customFormat="false" ht="15" hidden="false" customHeight="false" outlineLevel="0" collapsed="false">
      <c r="A163" s="2" t="s">
        <v>68</v>
      </c>
      <c r="B163" s="2" t="s">
        <v>104</v>
      </c>
      <c r="C163" s="2" t="s">
        <v>90</v>
      </c>
      <c r="D163" s="6" t="n">
        <f aca="false">ROUND('Open Items (Karbon)'!I124*60,0)/1440</f>
        <v>0.166666666666667</v>
      </c>
      <c r="E163" s="7" t="n">
        <f aca="false">ROUND('Open Items (Karbon)'!I124*IF(H163="CFO",Assumptions!$B$5,Assumptions!$B$4),0)</f>
        <v>380</v>
      </c>
      <c r="F163" s="6" t="n">
        <f aca="false">ROUND('Open Items (Karbon)'!J124*60,0)/1440</f>
        <v>0</v>
      </c>
      <c r="G163" s="7" t="n">
        <f aca="false">ROUND('Open Items (Karbon)'!J124*Assumptions!$B$5,0)</f>
        <v>0</v>
      </c>
      <c r="H163" s="9" t="s">
        <v>87</v>
      </c>
    </row>
    <row r="164" customFormat="false" ht="15" hidden="false" customHeight="false" outlineLevel="0" collapsed="false">
      <c r="A164" s="2" t="s">
        <v>68</v>
      </c>
      <c r="B164" s="2" t="s">
        <v>85</v>
      </c>
      <c r="C164" s="2" t="s">
        <v>86</v>
      </c>
      <c r="D164" s="6" t="n">
        <f aca="false">ROUND('Open Items (Karbon)'!I126*60,0)/1440</f>
        <v>0.0833333333333333</v>
      </c>
      <c r="E164" s="7" t="n">
        <f aca="false">ROUND('Open Items (Karbon)'!I126*IF(H164="CFO",Assumptions!$B$5,Assumptions!$B$4),0)</f>
        <v>190</v>
      </c>
      <c r="F164" s="6" t="n">
        <f aca="false">ROUND('Open Items (Karbon)'!J126*60,0)/1440</f>
        <v>0</v>
      </c>
      <c r="G164" s="7" t="n">
        <f aca="false">ROUND('Open Items (Karbon)'!J126*Assumptions!$B$5,0)</f>
        <v>0</v>
      </c>
      <c r="H164" s="9" t="s">
        <v>87</v>
      </c>
    </row>
    <row r="165" customFormat="false" ht="15" hidden="false" customHeight="false" outlineLevel="0" collapsed="false">
      <c r="A165" s="2" t="s">
        <v>69</v>
      </c>
      <c r="B165" s="2" t="s">
        <v>85</v>
      </c>
      <c r="C165" s="2" t="s">
        <v>86</v>
      </c>
      <c r="D165" s="6" t="n">
        <f aca="false">ROUND('Open Items (Karbon)'!I130*60,0)/1440</f>
        <v>0.03125</v>
      </c>
      <c r="E165" s="7" t="n">
        <f aca="false">ROUND('Open Items (Karbon)'!I130*IF(H165="CFO",Assumptions!$B$5,Assumptions!$B$4),0)</f>
        <v>71</v>
      </c>
      <c r="F165" s="6" t="n">
        <f aca="false">ROUND('Open Items (Karbon)'!J130*60,0)/1440</f>
        <v>0</v>
      </c>
      <c r="G165" s="7" t="n">
        <f aca="false">ROUND('Open Items (Karbon)'!J130*Assumptions!$B$5,0)</f>
        <v>0</v>
      </c>
      <c r="H165" s="9" t="s">
        <v>87</v>
      </c>
    </row>
    <row r="166" customFormat="false" ht="15" hidden="false" customHeight="false" outlineLevel="0" collapsed="false">
      <c r="A166" s="2" t="s">
        <v>70</v>
      </c>
      <c r="B166" s="2" t="s">
        <v>85</v>
      </c>
      <c r="C166" s="2" t="s">
        <v>86</v>
      </c>
      <c r="D166" s="6" t="n">
        <f aca="false">ROUND('Open Items (Karbon)'!I141*60,0)/1440</f>
        <v>0.0625</v>
      </c>
      <c r="E166" s="7" t="n">
        <f aca="false">ROUND('Open Items (Karbon)'!I141*IF(H166="CFO",Assumptions!$B$5,Assumptions!$B$4),0)</f>
        <v>143</v>
      </c>
      <c r="F166" s="6" t="n">
        <f aca="false">ROUND('Open Items (Karbon)'!J141*60,0)/1440</f>
        <v>0</v>
      </c>
      <c r="G166" s="7" t="n">
        <f aca="false">ROUND('Open Items (Karbon)'!J141*Assumptions!$B$5,0)</f>
        <v>0</v>
      </c>
      <c r="H166" s="9" t="s">
        <v>87</v>
      </c>
    </row>
    <row r="167" customFormat="false" ht="15" hidden="false" customHeight="false" outlineLevel="0" collapsed="false">
      <c r="A167" s="2" t="s">
        <v>71</v>
      </c>
      <c r="B167" s="2" t="s">
        <v>85</v>
      </c>
      <c r="C167" s="2" t="s">
        <v>86</v>
      </c>
      <c r="D167" s="6" t="n">
        <f aca="false">ROUND('Open Items (Karbon)'!I144*60,0)/1440</f>
        <v>0.166666666666667</v>
      </c>
      <c r="E167" s="7" t="n">
        <f aca="false">ROUND('Open Items (Karbon)'!I144*IF(H167="CFO",Assumptions!$B$5,Assumptions!$B$4),0)</f>
        <v>380</v>
      </c>
      <c r="F167" s="6" t="n">
        <f aca="false">ROUND('Open Items (Karbon)'!J144*60,0)/1440</f>
        <v>0</v>
      </c>
      <c r="G167" s="7" t="n">
        <f aca="false">ROUND('Open Items (Karbon)'!J144*Assumptions!$B$5,0)</f>
        <v>0</v>
      </c>
      <c r="H167" s="9" t="s">
        <v>87</v>
      </c>
    </row>
    <row r="168" customFormat="false" ht="15" hidden="false" customHeight="false" outlineLevel="0" collapsed="false">
      <c r="A168" s="2" t="s">
        <v>73</v>
      </c>
      <c r="B168" s="2" t="s">
        <v>105</v>
      </c>
      <c r="C168" s="2" t="s">
        <v>90</v>
      </c>
      <c r="D168" s="6" t="n">
        <f aca="false">ROUND('Open Items (Karbon)'!I148*60,0)/1440</f>
        <v>0.104166666666667</v>
      </c>
      <c r="E168" s="7" t="n">
        <f aca="false">ROUND('Open Items (Karbon)'!I148*IF(H168="CFO",Assumptions!$B$5,Assumptions!$B$4),0)</f>
        <v>238</v>
      </c>
      <c r="F168" s="6" t="n">
        <f aca="false">ROUND('Open Items (Karbon)'!J148*60,0)/1440</f>
        <v>0</v>
      </c>
      <c r="G168" s="7" t="n">
        <f aca="false">ROUND('Open Items (Karbon)'!J148*Assumptions!$B$5,0)</f>
        <v>0</v>
      </c>
      <c r="H168" s="9" t="s">
        <v>87</v>
      </c>
    </row>
    <row r="169" customFormat="false" ht="15" hidden="false" customHeight="false" outlineLevel="0" collapsed="false">
      <c r="A169" s="2" t="s">
        <v>73</v>
      </c>
      <c r="B169" s="2" t="s">
        <v>106</v>
      </c>
      <c r="C169" s="2" t="s">
        <v>90</v>
      </c>
      <c r="D169" s="6" t="n">
        <f aca="false">ROUND('Open Items (Karbon)'!I149*60,0)/1440</f>
        <v>0.104166666666667</v>
      </c>
      <c r="E169" s="7" t="n">
        <f aca="false">ROUND('Open Items (Karbon)'!I149*IF(H169="CFO",Assumptions!$B$5,Assumptions!$B$4),0)</f>
        <v>238</v>
      </c>
      <c r="F169" s="6" t="n">
        <f aca="false">ROUND('Open Items (Karbon)'!J149*60,0)/1440</f>
        <v>0</v>
      </c>
      <c r="G169" s="7" t="n">
        <f aca="false">ROUND('Open Items (Karbon)'!J149*Assumptions!$B$5,0)</f>
        <v>0</v>
      </c>
      <c r="H169" s="9" t="s">
        <v>87</v>
      </c>
    </row>
    <row r="170" customFormat="false" ht="15" hidden="false" customHeight="false" outlineLevel="0" collapsed="false">
      <c r="A170" s="2" t="s">
        <v>73</v>
      </c>
      <c r="B170" s="2" t="s">
        <v>107</v>
      </c>
      <c r="C170" s="2" t="s">
        <v>90</v>
      </c>
      <c r="D170" s="6" t="n">
        <f aca="false">ROUND('Open Items (Karbon)'!I150*60,0)/1440</f>
        <v>0.104166666666667</v>
      </c>
      <c r="E170" s="7" t="n">
        <f aca="false">ROUND('Open Items (Karbon)'!I150*IF(H170="CFO",Assumptions!$B$5,Assumptions!$B$4),0)</f>
        <v>238</v>
      </c>
      <c r="F170" s="6" t="n">
        <f aca="false">ROUND('Open Items (Karbon)'!J150*60,0)/1440</f>
        <v>0</v>
      </c>
      <c r="G170" s="7" t="n">
        <f aca="false">ROUND('Open Items (Karbon)'!J150*Assumptions!$B$5,0)</f>
        <v>0</v>
      </c>
      <c r="H170" s="9" t="s">
        <v>87</v>
      </c>
    </row>
    <row r="171" customFormat="false" ht="15" hidden="false" customHeight="false" outlineLevel="0" collapsed="false">
      <c r="A171" s="2" t="s">
        <v>73</v>
      </c>
      <c r="B171" s="2" t="s">
        <v>108</v>
      </c>
      <c r="C171" s="2" t="s">
        <v>90</v>
      </c>
      <c r="D171" s="6" t="n">
        <f aca="false">ROUND('Open Items (Karbon)'!I151*60,0)/1440</f>
        <v>0.104166666666667</v>
      </c>
      <c r="E171" s="7" t="n">
        <f aca="false">ROUND('Open Items (Karbon)'!I151*IF(H171="CFO",Assumptions!$B$5,Assumptions!$B$4),0)</f>
        <v>238</v>
      </c>
      <c r="F171" s="6" t="n">
        <f aca="false">ROUND('Open Items (Karbon)'!J151*60,0)/1440</f>
        <v>0</v>
      </c>
      <c r="G171" s="7" t="n">
        <f aca="false">ROUND('Open Items (Karbon)'!J151*Assumptions!$B$5,0)</f>
        <v>0</v>
      </c>
      <c r="H171" s="9" t="s">
        <v>87</v>
      </c>
    </row>
    <row r="172" customFormat="false" ht="15" hidden="false" customHeight="false" outlineLevel="0" collapsed="false">
      <c r="A172" s="2" t="s">
        <v>73</v>
      </c>
      <c r="B172" s="2" t="s">
        <v>109</v>
      </c>
      <c r="C172" s="2" t="s">
        <v>90</v>
      </c>
      <c r="D172" s="6" t="n">
        <f aca="false">ROUND('Open Items (Karbon)'!I153*60,0)/1440</f>
        <v>0.104166666666667</v>
      </c>
      <c r="E172" s="7" t="n">
        <f aca="false">ROUND('Open Items (Karbon)'!I153*IF(H172="CFO",Assumptions!$B$5,Assumptions!$B$4),0)</f>
        <v>238</v>
      </c>
      <c r="F172" s="6" t="n">
        <f aca="false">ROUND('Open Items (Karbon)'!J153*60,0)/1440</f>
        <v>0</v>
      </c>
      <c r="G172" s="7" t="n">
        <f aca="false">ROUND('Open Items (Karbon)'!J153*Assumptions!$B$5,0)</f>
        <v>0</v>
      </c>
      <c r="H172" s="9" t="s">
        <v>87</v>
      </c>
    </row>
    <row r="173" customFormat="false" ht="15" hidden="false" customHeight="false" outlineLevel="0" collapsed="false">
      <c r="A173" s="2" t="s">
        <v>73</v>
      </c>
      <c r="B173" s="2" t="s">
        <v>110</v>
      </c>
      <c r="C173" s="2" t="s">
        <v>90</v>
      </c>
      <c r="D173" s="6" t="n">
        <f aca="false">ROUND('Open Items (Karbon)'!I154*60,0)/1440</f>
        <v>0.104166666666667</v>
      </c>
      <c r="E173" s="7" t="n">
        <f aca="false">ROUND('Open Items (Karbon)'!I154*IF(H173="CFO",Assumptions!$B$5,Assumptions!$B$4),0)</f>
        <v>238</v>
      </c>
      <c r="F173" s="6" t="n">
        <f aca="false">ROUND('Open Items (Karbon)'!J154*60,0)/1440</f>
        <v>0</v>
      </c>
      <c r="G173" s="7" t="n">
        <f aca="false">ROUND('Open Items (Karbon)'!J154*Assumptions!$B$5,0)</f>
        <v>0</v>
      </c>
      <c r="H173" s="9" t="s">
        <v>87</v>
      </c>
    </row>
    <row r="174" customFormat="false" ht="15" hidden="false" customHeight="false" outlineLevel="0" collapsed="false">
      <c r="A174" s="2" t="s">
        <v>73</v>
      </c>
      <c r="B174" s="2" t="s">
        <v>111</v>
      </c>
      <c r="C174" s="2" t="s">
        <v>90</v>
      </c>
      <c r="D174" s="6" t="n">
        <f aca="false">ROUND('Open Items (Karbon)'!I155*60,0)/1440</f>
        <v>0.104166666666667</v>
      </c>
      <c r="E174" s="7" t="n">
        <f aca="false">ROUND('Open Items (Karbon)'!I155*IF(H174="CFO",Assumptions!$B$5,Assumptions!$B$4),0)</f>
        <v>238</v>
      </c>
      <c r="F174" s="6" t="n">
        <f aca="false">ROUND('Open Items (Karbon)'!J155*60,0)/1440</f>
        <v>0</v>
      </c>
      <c r="G174" s="7" t="n">
        <f aca="false">ROUND('Open Items (Karbon)'!J155*Assumptions!$B$5,0)</f>
        <v>0</v>
      </c>
      <c r="H174" s="9" t="s">
        <v>87</v>
      </c>
    </row>
    <row r="175" customFormat="false" ht="15" hidden="false" customHeight="false" outlineLevel="0" collapsed="false">
      <c r="A175" s="2" t="s">
        <v>73</v>
      </c>
      <c r="B175" s="2" t="s">
        <v>85</v>
      </c>
      <c r="C175" s="2" t="s">
        <v>86</v>
      </c>
      <c r="D175" s="6" t="n">
        <f aca="false">ROUND('Open Items (Karbon)'!I157*60,0)/1440</f>
        <v>0.166666666666667</v>
      </c>
      <c r="E175" s="7" t="n">
        <f aca="false">ROUND('Open Items (Karbon)'!I157*IF(H175="CFO",Assumptions!$B$5,Assumptions!$B$4),0)</f>
        <v>380</v>
      </c>
      <c r="F175" s="6" t="n">
        <f aca="false">ROUND('Open Items (Karbon)'!J157*60,0)/1440</f>
        <v>0</v>
      </c>
      <c r="G175" s="7" t="n">
        <f aca="false">ROUND('Open Items (Karbon)'!J157*Assumptions!$B$5,0)</f>
        <v>0</v>
      </c>
      <c r="H175" s="9" t="s">
        <v>87</v>
      </c>
    </row>
    <row r="176" customFormat="false" ht="15" hidden="false" customHeight="false" outlineLevel="0" collapsed="false">
      <c r="A176" s="2" t="s">
        <v>74</v>
      </c>
      <c r="B176" s="2" t="s">
        <v>85</v>
      </c>
      <c r="C176" s="2" t="s">
        <v>86</v>
      </c>
      <c r="D176" s="6" t="n">
        <f aca="false">ROUND('Open Items (Karbon)'!I160*60,0)/1440</f>
        <v>0.0236111111111111</v>
      </c>
      <c r="E176" s="7" t="n">
        <f aca="false">ROUND('Open Items (Karbon)'!I160*IF(H176="CFO",Assumptions!$B$5,Assumptions!$B$4),0)</f>
        <v>53</v>
      </c>
      <c r="F176" s="6" t="n">
        <f aca="false">ROUND('Open Items (Karbon)'!J160*60,0)/1440</f>
        <v>0</v>
      </c>
      <c r="G176" s="7" t="n">
        <f aca="false">ROUND('Open Items (Karbon)'!J160*Assumptions!$B$5,0)</f>
        <v>0</v>
      </c>
      <c r="H176" s="9" t="s">
        <v>87</v>
      </c>
    </row>
    <row r="177" customFormat="false" ht="15" hidden="false" customHeight="false" outlineLevel="0" collapsed="false">
      <c r="A177" s="2" t="s">
        <v>75</v>
      </c>
      <c r="B177" s="2" t="s">
        <v>85</v>
      </c>
      <c r="C177" s="2" t="s">
        <v>86</v>
      </c>
      <c r="D177" s="6" t="n">
        <f aca="false">ROUND('Open Items (Karbon)'!I162*60,0)/1440</f>
        <v>0.0236111111111111</v>
      </c>
      <c r="E177" s="7" t="n">
        <f aca="false">ROUND('Open Items (Karbon)'!I162*IF(H177="CFO",Assumptions!$B$5,Assumptions!$B$4),0)</f>
        <v>53</v>
      </c>
      <c r="F177" s="6" t="n">
        <f aca="false">ROUND('Open Items (Karbon)'!J162*60,0)/1440</f>
        <v>0</v>
      </c>
      <c r="G177" s="7" t="n">
        <f aca="false">ROUND('Open Items (Karbon)'!J162*Assumptions!$B$5,0)</f>
        <v>0</v>
      </c>
      <c r="H177" s="9" t="s">
        <v>87</v>
      </c>
    </row>
    <row r="178" customFormat="false" ht="15" hidden="false" customHeight="false" outlineLevel="0" collapsed="false">
      <c r="A178" s="2" t="s">
        <v>112</v>
      </c>
      <c r="B178" s="2" t="s">
        <v>113</v>
      </c>
      <c r="C178" s="2" t="s">
        <v>90</v>
      </c>
      <c r="D178" s="6" t="n">
        <f aca="false">ROUND('Open Items (Karbon)'!I163*60,0)/1440</f>
        <v>0.104166666666667</v>
      </c>
      <c r="E178" s="7" t="n">
        <f aca="false">ROUND('Open Items (Karbon)'!I163*IF(H178="CFO",Assumptions!$B$5,Assumptions!$B$4),0)</f>
        <v>238</v>
      </c>
      <c r="F178" s="6" t="n">
        <f aca="false">ROUND('Open Items (Karbon)'!J163*60,0)/1440</f>
        <v>0</v>
      </c>
      <c r="G178" s="7" t="n">
        <f aca="false">ROUND('Open Items (Karbon)'!J163*Assumptions!$B$5,0)</f>
        <v>0</v>
      </c>
      <c r="H178" s="9" t="s">
        <v>87</v>
      </c>
    </row>
    <row r="179" customFormat="false" ht="15" hidden="false" customHeight="false" outlineLevel="0" collapsed="false">
      <c r="A179" s="2" t="s">
        <v>76</v>
      </c>
      <c r="B179" s="2" t="s">
        <v>114</v>
      </c>
      <c r="C179" s="2" t="s">
        <v>90</v>
      </c>
      <c r="D179" s="6" t="n">
        <f aca="false">ROUND('Open Items (Karbon)'!I166*60,0)/1440</f>
        <v>0.145833333333333</v>
      </c>
      <c r="E179" s="7" t="n">
        <f aca="false">ROUND('Open Items (Karbon)'!I166*IF(H179="CFO",Assumptions!$B$5,Assumptions!$B$4),0)</f>
        <v>333</v>
      </c>
      <c r="F179" s="6" t="n">
        <f aca="false">ROUND('Open Items (Karbon)'!J166*60,0)/1440</f>
        <v>0</v>
      </c>
      <c r="G179" s="7" t="n">
        <f aca="false">ROUND('Open Items (Karbon)'!J166*Assumptions!$B$5,0)</f>
        <v>0</v>
      </c>
      <c r="H179" s="9" t="s">
        <v>87</v>
      </c>
    </row>
    <row r="180" customFormat="false" ht="15" hidden="false" customHeight="false" outlineLevel="0" collapsed="false">
      <c r="A180" s="2" t="s">
        <v>76</v>
      </c>
      <c r="B180" s="2" t="s">
        <v>85</v>
      </c>
      <c r="C180" s="2" t="s">
        <v>86</v>
      </c>
      <c r="D180" s="6" t="n">
        <f aca="false">ROUND('Open Items (Karbon)'!I171*60,0)/1440</f>
        <v>0.0472222222222222</v>
      </c>
      <c r="E180" s="7" t="n">
        <f aca="false">ROUND('Open Items (Karbon)'!I171*IF(H180="CFO",Assumptions!$B$5,Assumptions!$B$4),0)</f>
        <v>107</v>
      </c>
      <c r="F180" s="6" t="n">
        <f aca="false">ROUND('Open Items (Karbon)'!J171*60,0)/1440</f>
        <v>0</v>
      </c>
      <c r="G180" s="7" t="n">
        <f aca="false">ROUND('Open Items (Karbon)'!J171*Assumptions!$B$5,0)</f>
        <v>0</v>
      </c>
      <c r="H180" s="9" t="s">
        <v>87</v>
      </c>
    </row>
    <row r="181" customFormat="false" ht="15" hidden="false" customHeight="false" outlineLevel="0" collapsed="false">
      <c r="A181" s="2" t="s">
        <v>81</v>
      </c>
      <c r="B181" s="2" t="s">
        <v>85</v>
      </c>
      <c r="C181" s="2" t="s">
        <v>86</v>
      </c>
      <c r="D181" s="6" t="n">
        <f aca="false">ROUND('Open Items (Karbon)'!I173*60,0)/1440</f>
        <v>0.0472222222222222</v>
      </c>
      <c r="E181" s="7" t="n">
        <f aca="false">ROUND('Open Items (Karbon)'!I173*IF(H181="CFO",Assumptions!$B$5,Assumptions!$B$4),0)</f>
        <v>107</v>
      </c>
      <c r="F181" s="6" t="n">
        <f aca="false">ROUND('Open Items (Karbon)'!J173*60,0)/1440</f>
        <v>0</v>
      </c>
      <c r="G181" s="7" t="n">
        <f aca="false">ROUND('Open Items (Karbon)'!J173*Assumptions!$B$5,0)</f>
        <v>0</v>
      </c>
      <c r="H181" s="9" t="s">
        <v>87</v>
      </c>
    </row>
    <row r="182" customFormat="false" ht="15" hidden="false" customHeight="false" outlineLevel="0" collapsed="false">
      <c r="A182" s="2" t="s">
        <v>82</v>
      </c>
      <c r="B182" s="2" t="s">
        <v>114</v>
      </c>
      <c r="C182" s="2" t="s">
        <v>90</v>
      </c>
      <c r="D182" s="6" t="n">
        <f aca="false">ROUND('Open Items (Karbon)'!I178*60,0)/1440</f>
        <v>0.145833333333333</v>
      </c>
      <c r="E182" s="7" t="n">
        <f aca="false">ROUND('Open Items (Karbon)'!I178*IF(H182="CFO",Assumptions!$B$5,Assumptions!$B$4),0)</f>
        <v>333</v>
      </c>
      <c r="F182" s="6" t="n">
        <f aca="false">ROUND('Open Items (Karbon)'!J178*60,0)/1440</f>
        <v>0</v>
      </c>
      <c r="G182" s="7" t="n">
        <f aca="false">ROUND('Open Items (Karbon)'!J178*Assumptions!$B$5,0)</f>
        <v>0</v>
      </c>
      <c r="H182" s="9" t="s">
        <v>87</v>
      </c>
    </row>
    <row r="183" customFormat="false" ht="15" hidden="false" customHeight="false" outlineLevel="0" collapsed="false">
      <c r="A183" s="2" t="s">
        <v>82</v>
      </c>
      <c r="B183" s="2" t="s">
        <v>85</v>
      </c>
      <c r="C183" s="2" t="s">
        <v>86</v>
      </c>
      <c r="D183" s="6" t="n">
        <f aca="false">ROUND('Open Items (Karbon)'!I181*60,0)/1440</f>
        <v>0.0472222222222222</v>
      </c>
      <c r="E183" s="7" t="n">
        <f aca="false">ROUND('Open Items (Karbon)'!I181*IF(H183="CFO",Assumptions!$B$5,Assumptions!$B$4),0)</f>
        <v>107</v>
      </c>
      <c r="F183" s="6" t="n">
        <f aca="false">ROUND('Open Items (Karbon)'!J181*60,0)/1440</f>
        <v>0</v>
      </c>
      <c r="G183" s="7" t="n">
        <f aca="false">ROUND('Open Items (Karbon)'!J181*Assumptions!$B$5,0)</f>
        <v>0</v>
      </c>
      <c r="H183" s="9" t="s">
        <v>87</v>
      </c>
    </row>
    <row r="184" customFormat="false" ht="15" hidden="false" customHeight="false" outlineLevel="0" collapsed="false">
      <c r="A184" s="2" t="s">
        <v>83</v>
      </c>
      <c r="B184" s="2" t="s">
        <v>85</v>
      </c>
      <c r="C184" s="2" t="s">
        <v>86</v>
      </c>
      <c r="D184" s="6" t="n">
        <f aca="false">ROUND('Open Items (Karbon)'!I184*60,0)/1440</f>
        <v>0.0472222222222222</v>
      </c>
      <c r="E184" s="7" t="n">
        <f aca="false">ROUND('Open Items (Karbon)'!I184*IF(H184="CFO",Assumptions!$B$5,Assumptions!$B$4),0)</f>
        <v>107</v>
      </c>
      <c r="F184" s="6" t="n">
        <f aca="false">ROUND('Open Items (Karbon)'!J184*60,0)/1440</f>
        <v>0</v>
      </c>
      <c r="G184" s="7" t="n">
        <f aca="false">ROUND('Open Items (Karbon)'!J184*Assumptions!$B$5,0)</f>
        <v>0</v>
      </c>
      <c r="H184" s="9"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IF(OR(C5="Excluded (in-house)",C5="Not applicable"),0,D5*Assumptions!$B$29)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IF(OR(C6="Excluded (in-house)",C6="Not applicable"),0,D6*Assumptions!$B$29)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IF(OR(C7="Excluded (in-house)",C7="Not applicable"),0,D7*Assumptions!$B$29)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IF(OR(C8="Excluded (in-house)",C8="Not applicable"),0,D8*Assumptions!$B$29)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IF(OR(C9="Excluded (in-house)",C9="Not applicable"),0,D9*Assumptions!$B$29)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IF(OR(C10="Excluded (in-house)",C10="Not applicable"),0,D10*Assumptions!$B$29)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IF(OR(C11="Excluded (in-house)",C11="Not applicable"),0,D11*Assumptions!$B$29)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IF(OR(C12="Excluded (in-house)",C12="Not applicable"),0,D12*Assumptions!$B$29)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IF(OR(C13="Excluded (in-house)",C13="Not applicable"),0,D13*Assumptions!$B$29)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IF(OR(C14="Excluded (in-house)",C14="Not applicable"),0,D14*Assumptions!$B$29)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IF(OR(C15="Excluded (in-house)",C15="Not applicable"),0,D15*Assumptions!$B$29)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IF(OR(C16="Excluded (in-house)",C16="Not applicable"),0,D16*Assumptions!$B$29)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IF(OR(C17="Excluded (in-house)",C17="Not applicable"),0,D17*Assumptions!$B$29)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IF(OR(C18="Excluded (in-house)",C18="Not applicable"),0,D18*Assumptions!$B$29)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IF(OR(C19="Excluded (in-house)",C19="Not applicable"),0,D19*Assumptions!$B$29)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IF(OR(C20="Excluded (in-house)",C20="Not applicable"),0,D20*Assumptions!$B$29)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IF(OR(C21="Excluded (in-house)",C21="Not applicable"),0,D21*Assumptions!$B$29)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IF(OR(C22="Excluded (in-house)",C22="Not applicable"),0,D22*Assumptions!$B$29)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IF(OR(C23="Excluded (in-house)",C23="Not applicable"),0,D23*Assumptions!$B$29)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IF(OR(C24="Excluded (in-house)",C24="Not applicable"),0,D24*Assumptions!$B$29)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IF(OR(C25="Excluded (in-house)",C25="Not applicable"),0,D25*Assumptions!$B$29)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IF(OR(C26="Excluded (in-house)",C26="Not applicable"),0,D26*Assumptions!$B$29)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IF(OR(C27="Excluded (in-house)",C27="Not applicable"),0,D27*Assumptions!$B$29)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IF(OR(C28="Excluded (in-house)",C28="Not applicable"),0,D28*Assumptions!$B$29)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IF(OR(C29="Excluded (in-house)",C29="Not applicable"),0,D29*Assumptions!$B$29)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IF(OR(C30="Excluded (in-house)",C30="Not applicable"),0,D30*Assumptions!$B$29)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IF(OR(C31="Excluded (in-house)",C31="Not applicable"),0,D31*Assumptions!$B$29)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IF(OR(C32="Excluded (in-house)",C32="Not applicable"),0,D32*Assumptions!$B$29)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IF(OR(C33="Excluded (in-house)",C33="Not applicable"),0,D33*Assumptions!$B$29)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IF(OR(C34="Excluded (in-house)",C34="Not applicable"),0,D34*Assumptions!$B$29)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IF(OR(C35="Excluded (in-house)",C35="Not applicable"),0,D35*Assumptions!$B$29)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IF(OR(C36="Excluded (in-house)",C36="Not applicable"),0,D36*Assumptions!$B$29)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IF(OR(C37="Excluded (in-house)",C37="Not applicable"),0,D37*Assumptions!$B$29)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IF(OR(C38="Excluded (in-house)",C38="Not applicable"),0,D38*Assumptions!$B$29)</f>
        <v>0</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IF(OR(C39="Excluded (in-house)",C39="Not applicable"),0,D39*Assumptions!$B$29)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IF(OR(C40="Excluded (in-house)",C40="Not applicable"),0,D40*Assumptions!$B$29)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IF(OR(C41="Excluded (in-house)",C41="Not applicable"),0,D41*Assumptions!$B$29)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IF(OR(C42="Excluded (in-house)",C42="Not applicable"),0,D42*Assumptions!$B$29)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IF(OR(C43="Excluded (in-house)",C43="Not applicable"),0,D43*Assumptions!$B$29)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IF(OR(C44="Excluded (in-house)",C44="Not applicable"),0,D44*Assumptions!$B$29)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IF(OR(C45="Excluded (in-house)",C45="Not applicable"),0,D45*Assumptions!$B$29)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0.5</v>
      </c>
      <c r="G3" s="15" t="n">
        <v>0.7</v>
      </c>
      <c r="H3" s="21" t="n">
        <f aca="false">F3+G3</f>
        <v>1.2</v>
      </c>
      <c r="I3" s="2" t="n">
        <f aca="false">ROUND(H3*60,0)</f>
        <v>72</v>
      </c>
      <c r="J3" s="2" t="n">
        <f aca="false">ROUND(F3*60,0)</f>
        <v>30</v>
      </c>
      <c r="K3" s="2" t="n">
        <f aca="false">ROUND(G3*60,0)</f>
        <v>42</v>
      </c>
      <c r="L3" s="9" t="s">
        <v>87</v>
      </c>
      <c r="M3" s="22" t="n">
        <f aca="false">F3*IF(L3="CFO",Assumptions!$B$5,Assumptions!$B$4)+G3*Assumptions!$B$5</f>
        <v>222.5</v>
      </c>
      <c r="N3" s="16" t="n">
        <f aca="false">F3*INDEX(Assumptions!$B$8:$B$14,MATCH(E3,Assumptions!$A$8:$A$14,0))</f>
        <v>0.5</v>
      </c>
      <c r="O3" s="16" t="n">
        <f aca="false">G3*INDEX(Assumptions!$B$8:$B$14,MATCH(E3,Assumptions!$A$8:$A$14,0))</f>
        <v>0.7</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2.25</v>
      </c>
      <c r="G9" s="15" t="n">
        <v>0.7</v>
      </c>
      <c r="H9" s="21" t="n">
        <f aca="false">F9+G9</f>
        <v>2.95</v>
      </c>
      <c r="I9" s="2" t="n">
        <f aca="false">ROUND(H9*60,0)</f>
        <v>177</v>
      </c>
      <c r="J9" s="2" t="n">
        <f aca="false">ROUND(F9*60,0)</f>
        <v>135</v>
      </c>
      <c r="K9" s="2" t="n">
        <f aca="false">ROUND(G9*60,0)</f>
        <v>42</v>
      </c>
      <c r="L9" s="9" t="s">
        <v>87</v>
      </c>
      <c r="M9" s="22" t="n">
        <f aca="false">F9*IF(L9="CFO",Assumptions!$B$5,Assumptions!$B$4)+G9*Assumptions!$B$5</f>
        <v>388.75</v>
      </c>
      <c r="N9" s="16" t="n">
        <f aca="false">F9*INDEX(Assumptions!$B$8:$B$14,MATCH(E9,Assumptions!$A$8:$A$14,0))</f>
        <v>2.25</v>
      </c>
      <c r="O9" s="16" t="n">
        <f aca="false">G9*INDEX(Assumptions!$B$8:$B$14,MATCH(E9,Assumptions!$A$8:$A$14,0))</f>
        <v>0.7</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0.7</v>
      </c>
      <c r="H11" s="21" t="n">
        <f aca="false">F11+G11</f>
        <v>1.5333</v>
      </c>
      <c r="I11" s="2" t="n">
        <f aca="false">ROUND(H11*60,0)</f>
        <v>92</v>
      </c>
      <c r="J11" s="2" t="n">
        <f aca="false">ROUND(F11*60,0)</f>
        <v>50</v>
      </c>
      <c r="K11" s="2" t="n">
        <f aca="false">ROUND(G11*60,0)</f>
        <v>42</v>
      </c>
      <c r="L11" s="9" t="s">
        <v>87</v>
      </c>
      <c r="M11" s="22" t="n">
        <f aca="false">F11*IF(L11="CFO",Assumptions!$B$5,Assumptions!$B$4)+G11*Assumptions!$B$5</f>
        <v>254.1635</v>
      </c>
      <c r="N11" s="16" t="n">
        <f aca="false">F11*INDEX(Assumptions!$B$8:$B$14,MATCH(E11,Assumptions!$A$8:$A$14,0))</f>
        <v>0.8333</v>
      </c>
      <c r="O11" s="16" t="n">
        <f aca="false">G11*INDEX(Assumptions!$B$8:$B$14,MATCH(E11,Assumptions!$A$8:$A$14,0))</f>
        <v>0.7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1.1667</v>
      </c>
      <c r="G13" s="15" t="n">
        <v>0.7</v>
      </c>
      <c r="H13" s="21" t="n">
        <f aca="false">F13+G13</f>
        <v>1.8667</v>
      </c>
      <c r="I13" s="2" t="n">
        <f aca="false">ROUND(H13*60,0)</f>
        <v>112</v>
      </c>
      <c r="J13" s="2" t="n">
        <f aca="false">ROUND(F13*60,0)</f>
        <v>70</v>
      </c>
      <c r="K13" s="2" t="n">
        <f aca="false">ROUND(G13*60,0)</f>
        <v>42</v>
      </c>
      <c r="L13" s="9" t="s">
        <v>87</v>
      </c>
      <c r="M13" s="22" t="n">
        <f aca="false">F13*IF(L13="CFO",Assumptions!$B$5,Assumptions!$B$4)+G13*Assumptions!$B$5</f>
        <v>285.8365</v>
      </c>
      <c r="N13" s="16" t="n">
        <f aca="false">F13*INDEX(Assumptions!$B$8:$B$14,MATCH(E13,Assumptions!$A$8:$A$14,0))</f>
        <v>1.1667</v>
      </c>
      <c r="O13" s="16" t="n">
        <f aca="false">G13*INDEX(Assumptions!$B$8:$B$14,MATCH(E13,Assumptions!$A$8:$A$14,0))</f>
        <v>0.7</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0.3833</v>
      </c>
      <c r="H15" s="21" t="n">
        <f aca="false">F15+G15</f>
        <v>1.1333</v>
      </c>
      <c r="I15" s="2" t="n">
        <f aca="false">ROUND(H15*60,0)</f>
        <v>68</v>
      </c>
      <c r="J15" s="2" t="n">
        <f aca="false">ROUND(F15*60,0)</f>
        <v>45</v>
      </c>
      <c r="K15" s="2" t="n">
        <f aca="false">ROUND(G15*60,0)</f>
        <v>23</v>
      </c>
      <c r="L15" s="9" t="s">
        <v>87</v>
      </c>
      <c r="M15" s="22" t="n">
        <f aca="false">F15*IF(L15="CFO",Assumptions!$B$5,Assumptions!$B$4)+G15*Assumptions!$B$5</f>
        <v>167.075</v>
      </c>
      <c r="N15" s="16" t="n">
        <f aca="false">F15*INDEX(Assumptions!$B$8:$B$14,MATCH(E15,Assumptions!$A$8:$A$14,0))</f>
        <v>0.75</v>
      </c>
      <c r="O15" s="16" t="n">
        <f aca="false">G15*INDEX(Assumptions!$B$8:$B$14,MATCH(E15,Assumptions!$A$8:$A$14,0))</f>
        <v>0.3833</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0.4833</v>
      </c>
      <c r="H17" s="21" t="n">
        <f aca="false">F17+G17</f>
        <v>1.7333</v>
      </c>
      <c r="I17" s="2" t="n">
        <f aca="false">ROUND(H17*60,0)</f>
        <v>104</v>
      </c>
      <c r="J17" s="2" t="n">
        <f aca="false">ROUND(F17*60,0)</f>
        <v>75</v>
      </c>
      <c r="K17" s="2" t="n">
        <f aca="false">ROUND(G17*60,0)</f>
        <v>29</v>
      </c>
      <c r="L17" s="9" t="s">
        <v>87</v>
      </c>
      <c r="M17" s="22" t="n">
        <f aca="false">F17*IF(L17="CFO",Assumptions!$B$5,Assumptions!$B$4)+G17*Assumptions!$B$5</f>
        <v>239.575</v>
      </c>
      <c r="N17" s="16" t="n">
        <f aca="false">F17*INDEX(Assumptions!$B$8:$B$14,MATCH(E17,Assumptions!$A$8:$A$14,0))</f>
        <v>1.25</v>
      </c>
      <c r="O17" s="16" t="n">
        <f aca="false">G17*INDEX(Assumptions!$B$8:$B$14,MATCH(E17,Assumptions!$A$8:$A$14,0))</f>
        <v>0.4833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16.1667</v>
      </c>
      <c r="G20" s="15" t="n">
        <v>1</v>
      </c>
      <c r="H20" s="21" t="n">
        <f aca="false">F20+G20</f>
        <v>17.1667</v>
      </c>
      <c r="I20" s="2" t="n">
        <f aca="false">ROUND(H20*60,0)</f>
        <v>1030</v>
      </c>
      <c r="J20" s="2" t="n">
        <f aca="false">ROUND(F20*60,0)</f>
        <v>970</v>
      </c>
      <c r="K20" s="2" t="n">
        <f aca="false">ROUND(G20*60,0)</f>
        <v>60</v>
      </c>
      <c r="L20" s="9" t="s">
        <v>87</v>
      </c>
      <c r="M20" s="22" t="n">
        <f aca="false">F20*IF(L20="CFO",Assumptions!$B$5,Assumptions!$B$4)+G20*Assumptions!$B$5</f>
        <v>1785.8365</v>
      </c>
      <c r="N20" s="16" t="n">
        <f aca="false">F20*INDEX(Assumptions!$B$8:$B$14,MATCH(E20,Assumptions!$A$8:$A$14,0))</f>
        <v>16.1667</v>
      </c>
      <c r="O20" s="16" t="n">
        <f aca="false">G20*INDEX(Assumptions!$B$8:$B$14,MATCH(E20,Assumptions!$A$8:$A$14,0))</f>
        <v>1</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0.75</v>
      </c>
      <c r="G23" s="15" t="n">
        <v>0.5</v>
      </c>
      <c r="H23" s="21" t="n">
        <f aca="false">F23+G23</f>
        <v>1.25</v>
      </c>
      <c r="I23" s="2" t="n">
        <f aca="false">ROUND(H23*60,0)</f>
        <v>75</v>
      </c>
      <c r="J23" s="2" t="n">
        <f aca="false">ROUND(F23*60,0)</f>
        <v>45</v>
      </c>
      <c r="K23" s="2" t="n">
        <f aca="false">ROUND(G23*60,0)</f>
        <v>30</v>
      </c>
      <c r="L23" s="9" t="s">
        <v>87</v>
      </c>
      <c r="M23" s="22" t="n">
        <f aca="false">F23*IF(L23="CFO",Assumptions!$B$5,Assumptions!$B$4)+G23*Assumptions!$B$5</f>
        <v>196.25</v>
      </c>
      <c r="N23" s="16" t="n">
        <f aca="false">F23*INDEX(Assumptions!$B$8:$B$14,MATCH(E23,Assumptions!$A$8:$A$14,0))</f>
        <v>0.75</v>
      </c>
      <c r="O23" s="16" t="n">
        <f aca="false">G23*INDEX(Assumptions!$B$8:$B$14,MATCH(E23,Assumptions!$A$8:$A$14,0))</f>
        <v>0.5</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2.8333</v>
      </c>
      <c r="G25" s="15" t="n">
        <v>1.1</v>
      </c>
      <c r="H25" s="21" t="n">
        <f aca="false">F25+G25</f>
        <v>3.9333</v>
      </c>
      <c r="I25" s="2" t="n">
        <f aca="false">ROUND(H25*60,0)</f>
        <v>236</v>
      </c>
      <c r="J25" s="2" t="n">
        <f aca="false">ROUND(F25*60,0)</f>
        <v>170</v>
      </c>
      <c r="K25" s="2" t="n">
        <f aca="false">ROUND(G25*60,0)</f>
        <v>66</v>
      </c>
      <c r="L25" s="9" t="s">
        <v>87</v>
      </c>
      <c r="M25" s="22" t="n">
        <f aca="false">F25*IF(L25="CFO",Assumptions!$B$5,Assumptions!$B$4)+G25*Assumptions!$B$5</f>
        <v>544.1635</v>
      </c>
      <c r="N25" s="16" t="n">
        <f aca="false">F25*INDEX(Assumptions!$B$8:$B$14,MATCH(E25,Assumptions!$A$8:$A$14,0))</f>
        <v>2.8333</v>
      </c>
      <c r="O25" s="16" t="n">
        <f aca="false">G25*INDEX(Assumptions!$B$8:$B$14,MATCH(E25,Assumptions!$A$8:$A$14,0))</f>
        <v>1.1</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6.9167</v>
      </c>
      <c r="G27" s="15" t="n">
        <v>0.8</v>
      </c>
      <c r="H27" s="21" t="n">
        <f aca="false">F27+G27</f>
        <v>7.7167</v>
      </c>
      <c r="I27" s="2" t="n">
        <f aca="false">ROUND(H27*60,0)</f>
        <v>463</v>
      </c>
      <c r="J27" s="2" t="n">
        <f aca="false">ROUND(F27*60,0)</f>
        <v>415</v>
      </c>
      <c r="K27" s="2" t="n">
        <f aca="false">ROUND(G27*60,0)</f>
        <v>48</v>
      </c>
      <c r="L27" s="9" t="s">
        <v>87</v>
      </c>
      <c r="M27" s="22" t="n">
        <f aca="false">F27*IF(L27="CFO",Assumptions!$B$5,Assumptions!$B$4)+G27*Assumptions!$B$5</f>
        <v>857.0865</v>
      </c>
      <c r="N27" s="16" t="n">
        <f aca="false">F27*INDEX(Assumptions!$B$8:$B$14,MATCH(E27,Assumptions!$A$8:$A$14,0))</f>
        <v>6.9167</v>
      </c>
      <c r="O27" s="16" t="n">
        <f aca="false">G27*INDEX(Assumptions!$B$8:$B$14,MATCH(E27,Assumptions!$A$8:$A$14,0))</f>
        <v>0.8</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0.4167</v>
      </c>
      <c r="G29" s="15" t="n">
        <v>0.5</v>
      </c>
      <c r="H29" s="21" t="n">
        <f aca="false">F29+G29</f>
        <v>0.9167</v>
      </c>
      <c r="I29" s="2" t="n">
        <f aca="false">ROUND(H29*60,0)</f>
        <v>55</v>
      </c>
      <c r="J29" s="2" t="n">
        <f aca="false">ROUND(F29*60,0)</f>
        <v>25</v>
      </c>
      <c r="K29" s="2" t="n">
        <f aca="false">ROUND(G29*60,0)</f>
        <v>30</v>
      </c>
      <c r="L29" s="9" t="s">
        <v>87</v>
      </c>
      <c r="M29" s="22" t="n">
        <f aca="false">F29*IF(L29="CFO",Assumptions!$B$5,Assumptions!$B$4)+G29*Assumptions!$B$5</f>
        <v>164.5865</v>
      </c>
      <c r="N29" s="16" t="n">
        <f aca="false">F29*INDEX(Assumptions!$B$8:$B$14,MATCH(E29,Assumptions!$A$8:$A$14,0))</f>
        <v>0.4167</v>
      </c>
      <c r="O29" s="16" t="n">
        <f aca="false">G29*INDEX(Assumptions!$B$8:$B$14,MATCH(E29,Assumptions!$A$8:$A$14,0))</f>
        <v>0.5</v>
      </c>
      <c r="P29" s="25" t="s">
        <v>232</v>
      </c>
      <c r="Q29" s="24" t="s">
        <v>292</v>
      </c>
      <c r="R29" s="2" t="s">
        <v>229</v>
      </c>
    </row>
    <row r="30" customFormat="false" ht="15" hidden="false" customHeight="false" outlineLevel="0" collapsed="false">
      <c r="A30" s="2" t="s">
        <v>293</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294</v>
      </c>
    </row>
    <row r="31" customFormat="false" ht="15" hidden="false" customHeight="false" outlineLevel="0" collapsed="false">
      <c r="A31" s="2" t="s">
        <v>295</v>
      </c>
      <c r="B31" s="10" t="s">
        <v>35</v>
      </c>
      <c r="C31" s="10" t="s">
        <v>231</v>
      </c>
      <c r="D31" s="10" t="s">
        <v>14</v>
      </c>
      <c r="E31" s="10" t="s">
        <v>15</v>
      </c>
      <c r="F31" s="15" t="n">
        <v>2.9167</v>
      </c>
      <c r="G31" s="15" t="n">
        <v>1.25</v>
      </c>
      <c r="H31" s="21" t="n">
        <f aca="false">F31+G31</f>
        <v>4.1667</v>
      </c>
      <c r="I31" s="2" t="n">
        <f aca="false">ROUND(H31*60,0)</f>
        <v>250</v>
      </c>
      <c r="J31" s="2" t="n">
        <f aca="false">ROUND(F31*60,0)</f>
        <v>175</v>
      </c>
      <c r="K31" s="2" t="n">
        <f aca="false">ROUND(G31*60,0)</f>
        <v>75</v>
      </c>
      <c r="L31" s="9" t="s">
        <v>87</v>
      </c>
      <c r="M31" s="22" t="n">
        <f aca="false">F31*IF(L31="CFO",Assumptions!$B$5,Assumptions!$B$4)+G31*Assumptions!$B$5</f>
        <v>589.5865</v>
      </c>
      <c r="N31" s="16" t="n">
        <f aca="false">F31*INDEX(Assumptions!$B$8:$B$14,MATCH(E31,Assumptions!$A$8:$A$14,0))</f>
        <v>2.9167</v>
      </c>
      <c r="O31" s="16" t="n">
        <f aca="false">G31*INDEX(Assumptions!$B$8:$B$14,MATCH(E31,Assumptions!$A$8:$A$14,0))</f>
        <v>1.25</v>
      </c>
      <c r="P31" s="25" t="s">
        <v>232</v>
      </c>
      <c r="Q31" s="24" t="s">
        <v>296</v>
      </c>
      <c r="R31" s="2" t="s">
        <v>294</v>
      </c>
    </row>
    <row r="32" customFormat="false" ht="15" hidden="false" customHeight="false" outlineLevel="0" collapsed="false">
      <c r="A32" s="2" t="s">
        <v>297</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298</v>
      </c>
      <c r="B33" s="10" t="s">
        <v>36</v>
      </c>
      <c r="C33" s="10" t="s">
        <v>231</v>
      </c>
      <c r="D33" s="10" t="s">
        <v>14</v>
      </c>
      <c r="E33" s="10" t="s">
        <v>15</v>
      </c>
      <c r="F33" s="15" t="n">
        <v>2.75</v>
      </c>
      <c r="G33" s="15" t="n">
        <v>0.5</v>
      </c>
      <c r="H33" s="21" t="n">
        <f aca="false">F33+G33</f>
        <v>3.25</v>
      </c>
      <c r="I33" s="2" t="n">
        <f aca="false">ROUND(H33*60,0)</f>
        <v>195</v>
      </c>
      <c r="J33" s="2" t="n">
        <f aca="false">ROUND(F33*60,0)</f>
        <v>165</v>
      </c>
      <c r="K33" s="2" t="n">
        <f aca="false">ROUND(G33*60,0)</f>
        <v>30</v>
      </c>
      <c r="L33" s="9" t="s">
        <v>185</v>
      </c>
      <c r="M33" s="22" t="n">
        <f aca="false">F33*IF(L33="CFO",Assumptions!$B$5,Assumptions!$B$4)+G33*Assumptions!$B$5</f>
        <v>812.5</v>
      </c>
      <c r="N33" s="16" t="n">
        <f aca="false">F33*INDEX(Assumptions!$B$8:$B$14,MATCH(E33,Assumptions!$A$8:$A$14,0))</f>
        <v>2.75</v>
      </c>
      <c r="O33" s="16" t="n">
        <f aca="false">G33*INDEX(Assumptions!$B$8:$B$14,MATCH(E33,Assumptions!$A$8:$A$14,0))</f>
        <v>0.5</v>
      </c>
      <c r="P33" s="25" t="s">
        <v>232</v>
      </c>
      <c r="Q33" s="24" t="s">
        <v>299</v>
      </c>
      <c r="R33" s="2" t="s">
        <v>284</v>
      </c>
    </row>
    <row r="34" customFormat="false" ht="15" hidden="false" customHeight="false" outlineLevel="0" collapsed="false">
      <c r="A34" s="2" t="s">
        <v>300</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301</v>
      </c>
      <c r="R34" s="2" t="s">
        <v>302</v>
      </c>
    </row>
    <row r="35" customFormat="false" ht="15" hidden="false" customHeight="false" outlineLevel="0" collapsed="false">
      <c r="A35" s="2" t="s">
        <v>303</v>
      </c>
      <c r="B35" s="10" t="s">
        <v>37</v>
      </c>
      <c r="C35" s="10" t="s">
        <v>231</v>
      </c>
      <c r="D35" s="10" t="s">
        <v>14</v>
      </c>
      <c r="E35" s="10" t="s">
        <v>15</v>
      </c>
      <c r="F35" s="15" t="n">
        <v>7.6667</v>
      </c>
      <c r="G35" s="15" t="n">
        <v>1.2</v>
      </c>
      <c r="H35" s="21" t="n">
        <f aca="false">F35+G35</f>
        <v>8.8667</v>
      </c>
      <c r="I35" s="2" t="n">
        <f aca="false">ROUND(H35*60,0)</f>
        <v>532</v>
      </c>
      <c r="J35" s="2" t="n">
        <f aca="false">ROUND(F35*60,0)</f>
        <v>460</v>
      </c>
      <c r="K35" s="2" t="n">
        <f aca="false">ROUND(G35*60,0)</f>
        <v>72</v>
      </c>
      <c r="L35" s="9" t="s">
        <v>87</v>
      </c>
      <c r="M35" s="22" t="n">
        <f aca="false">F35*IF(L35="CFO",Assumptions!$B$5,Assumptions!$B$4)+G35*Assumptions!$B$5</f>
        <v>1028.3365</v>
      </c>
      <c r="N35" s="16" t="n">
        <f aca="false">F35*INDEX(Assumptions!$B$8:$B$14,MATCH(E35,Assumptions!$A$8:$A$14,0))</f>
        <v>7.6667</v>
      </c>
      <c r="O35" s="16" t="n">
        <f aca="false">G35*INDEX(Assumptions!$B$8:$B$14,MATCH(E35,Assumptions!$A$8:$A$14,0))</f>
        <v>1.2</v>
      </c>
      <c r="P35" s="25" t="s">
        <v>232</v>
      </c>
      <c r="Q35" s="24" t="s">
        <v>304</v>
      </c>
      <c r="R35" s="2" t="s">
        <v>302</v>
      </c>
    </row>
    <row r="36" customFormat="false" ht="15" hidden="false" customHeight="false" outlineLevel="0" collapsed="false">
      <c r="A36" s="2" t="s">
        <v>305</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306</v>
      </c>
      <c r="B37" s="10" t="s">
        <v>38</v>
      </c>
      <c r="C37" s="10" t="s">
        <v>231</v>
      </c>
      <c r="D37" s="10" t="s">
        <v>14</v>
      </c>
      <c r="E37" s="10" t="s">
        <v>15</v>
      </c>
      <c r="F37" s="15" t="n">
        <v>4.4167</v>
      </c>
      <c r="G37" s="15" t="n">
        <v>0.7</v>
      </c>
      <c r="H37" s="21" t="n">
        <f aca="false">F37+G37</f>
        <v>5.1167</v>
      </c>
      <c r="I37" s="2" t="n">
        <f aca="false">ROUND(H37*60,0)</f>
        <v>307</v>
      </c>
      <c r="J37" s="2" t="n">
        <f aca="false">ROUND(F37*60,0)</f>
        <v>265</v>
      </c>
      <c r="K37" s="2" t="n">
        <f aca="false">ROUND(G37*60,0)</f>
        <v>42</v>
      </c>
      <c r="L37" s="9" t="s">
        <v>87</v>
      </c>
      <c r="M37" s="22" t="n">
        <f aca="false">F37*IF(L37="CFO",Assumptions!$B$5,Assumptions!$B$4)+G37*Assumptions!$B$5</f>
        <v>594.5865</v>
      </c>
      <c r="N37" s="16" t="n">
        <f aca="false">F37*INDEX(Assumptions!$B$8:$B$14,MATCH(E37,Assumptions!$A$8:$A$14,0))</f>
        <v>4.4167</v>
      </c>
      <c r="O37" s="16" t="n">
        <f aca="false">G37*INDEX(Assumptions!$B$8:$B$14,MATCH(E37,Assumptions!$A$8:$A$14,0))</f>
        <v>0.7</v>
      </c>
      <c r="P37" s="25" t="s">
        <v>232</v>
      </c>
      <c r="Q37" s="24" t="s">
        <v>307</v>
      </c>
      <c r="R37" s="2" t="s">
        <v>284</v>
      </c>
    </row>
    <row r="38" customFormat="false" ht="15" hidden="false" customHeight="false" outlineLevel="0" collapsed="false">
      <c r="A38" s="2" t="s">
        <v>308</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309</v>
      </c>
      <c r="B39" s="10" t="s">
        <v>39</v>
      </c>
      <c r="C39" s="10" t="s">
        <v>231</v>
      </c>
      <c r="D39" s="10" t="s">
        <v>14</v>
      </c>
      <c r="E39" s="10" t="s">
        <v>15</v>
      </c>
      <c r="F39" s="15" t="n">
        <v>0.75</v>
      </c>
      <c r="G39" s="15" t="n">
        <v>0.5</v>
      </c>
      <c r="H39" s="21" t="n">
        <f aca="false">F39+G39</f>
        <v>1.25</v>
      </c>
      <c r="I39" s="2" t="n">
        <f aca="false">ROUND(H39*60,0)</f>
        <v>75</v>
      </c>
      <c r="J39" s="2" t="n">
        <f aca="false">ROUND(F39*60,0)</f>
        <v>45</v>
      </c>
      <c r="K39" s="2" t="n">
        <f aca="false">ROUND(G39*60,0)</f>
        <v>30</v>
      </c>
      <c r="L39" s="9" t="s">
        <v>87</v>
      </c>
      <c r="M39" s="22" t="n">
        <f aca="false">F39*IF(L39="CFO",Assumptions!$B$5,Assumptions!$B$4)+G39*Assumptions!$B$5</f>
        <v>196.25</v>
      </c>
      <c r="N39" s="16" t="n">
        <f aca="false">F39*INDEX(Assumptions!$B$8:$B$14,MATCH(E39,Assumptions!$A$8:$A$14,0))</f>
        <v>0.75</v>
      </c>
      <c r="O39" s="16" t="n">
        <f aca="false">G39*INDEX(Assumptions!$B$8:$B$14,MATCH(E39,Assumptions!$A$8:$A$14,0))</f>
        <v>0.5</v>
      </c>
      <c r="P39" s="26" t="s">
        <v>262</v>
      </c>
      <c r="Q39" s="24" t="s">
        <v>310</v>
      </c>
      <c r="R39" s="2" t="s">
        <v>260</v>
      </c>
    </row>
    <row r="40" customFormat="false" ht="15" hidden="false" customHeight="false" outlineLevel="0" collapsed="false">
      <c r="A40" s="2" t="s">
        <v>311</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312</v>
      </c>
    </row>
    <row r="41" customFormat="false" ht="15" hidden="false" customHeight="false" outlineLevel="0" collapsed="false">
      <c r="A41" s="2" t="s">
        <v>313</v>
      </c>
      <c r="B41" s="10" t="s">
        <v>40</v>
      </c>
      <c r="C41" s="10" t="s">
        <v>231</v>
      </c>
      <c r="D41" s="10" t="s">
        <v>14</v>
      </c>
      <c r="E41" s="10" t="s">
        <v>15</v>
      </c>
      <c r="F41" s="15" t="n">
        <v>5.75</v>
      </c>
      <c r="G41" s="15" t="n">
        <v>0.4833</v>
      </c>
      <c r="H41" s="21" t="n">
        <f aca="false">F41+G41</f>
        <v>6.2333</v>
      </c>
      <c r="I41" s="2" t="n">
        <f aca="false">ROUND(H41*60,0)</f>
        <v>374</v>
      </c>
      <c r="J41" s="2" t="n">
        <f aca="false">ROUND(F41*60,0)</f>
        <v>345</v>
      </c>
      <c r="K41" s="2" t="n">
        <f aca="false">ROUND(G41*60,0)</f>
        <v>29</v>
      </c>
      <c r="L41" s="9" t="s">
        <v>185</v>
      </c>
      <c r="M41" s="22" t="n">
        <f aca="false">F41*IF(L41="CFO",Assumptions!$B$5,Assumptions!$B$4)+G41*Assumptions!$B$5</f>
        <v>1558.325</v>
      </c>
      <c r="N41" s="16" t="n">
        <f aca="false">F41*INDEX(Assumptions!$B$8:$B$14,MATCH(E41,Assumptions!$A$8:$A$14,0))</f>
        <v>5.75</v>
      </c>
      <c r="O41" s="16" t="n">
        <f aca="false">G41*INDEX(Assumptions!$B$8:$B$14,MATCH(E41,Assumptions!$A$8:$A$14,0))</f>
        <v>0.4833</v>
      </c>
      <c r="P41" s="28" t="s">
        <v>314</v>
      </c>
      <c r="Q41" s="24" t="s">
        <v>315</v>
      </c>
      <c r="R41" s="2" t="s">
        <v>312</v>
      </c>
    </row>
    <row r="42" customFormat="false" ht="15" hidden="false" customHeight="false" outlineLevel="0" collapsed="false">
      <c r="A42" s="2" t="s">
        <v>316</v>
      </c>
      <c r="B42" s="10" t="s">
        <v>317</v>
      </c>
      <c r="C42" s="10" t="s">
        <v>243</v>
      </c>
      <c r="D42" s="10" t="s">
        <v>96</v>
      </c>
      <c r="E42" s="10" t="s">
        <v>161</v>
      </c>
      <c r="F42" s="21"/>
      <c r="G42" s="21"/>
      <c r="H42" s="21"/>
      <c r="I42" s="2"/>
      <c r="J42" s="2"/>
      <c r="K42" s="2"/>
      <c r="L42" s="2"/>
      <c r="M42" s="29"/>
      <c r="N42" s="21"/>
      <c r="O42" s="21"/>
      <c r="P42" s="30" t="s">
        <v>318</v>
      </c>
      <c r="Q42" s="24" t="s">
        <v>319</v>
      </c>
      <c r="R42" s="2"/>
    </row>
    <row r="43" customFormat="false" ht="15" hidden="false" customHeight="false" outlineLevel="0" collapsed="false">
      <c r="A43" s="2" t="s">
        <v>320</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321</v>
      </c>
      <c r="R43" s="2" t="s">
        <v>322</v>
      </c>
    </row>
    <row r="44" customFormat="false" ht="15" hidden="false" customHeight="false" outlineLevel="0" collapsed="false">
      <c r="A44" s="2" t="s">
        <v>323</v>
      </c>
      <c r="B44" s="10" t="s">
        <v>41</v>
      </c>
      <c r="C44" s="10" t="s">
        <v>231</v>
      </c>
      <c r="D44" s="10" t="s">
        <v>14</v>
      </c>
      <c r="E44" s="10" t="s">
        <v>15</v>
      </c>
      <c r="F44" s="15" t="n">
        <v>5.5</v>
      </c>
      <c r="G44" s="15" t="n">
        <v>1.75</v>
      </c>
      <c r="H44" s="21" t="n">
        <f aca="false">F44+G44</f>
        <v>7.25</v>
      </c>
      <c r="I44" s="2" t="n">
        <f aca="false">ROUND(H44*60,0)</f>
        <v>435</v>
      </c>
      <c r="J44" s="2" t="n">
        <f aca="false">ROUND(F44*60,0)</f>
        <v>330</v>
      </c>
      <c r="K44" s="2" t="n">
        <f aca="false">ROUND(G44*60,0)</f>
        <v>105</v>
      </c>
      <c r="L44" s="9" t="s">
        <v>185</v>
      </c>
      <c r="M44" s="22" t="n">
        <f aca="false">F44*IF(L44="CFO",Assumptions!$B$5,Assumptions!$B$4)+G44*Assumptions!$B$5</f>
        <v>1812.5</v>
      </c>
      <c r="N44" s="16" t="n">
        <f aca="false">F44*INDEX(Assumptions!$B$8:$B$14,MATCH(E44,Assumptions!$A$8:$A$14,0))</f>
        <v>5.5</v>
      </c>
      <c r="O44" s="16" t="n">
        <f aca="false">G44*INDEX(Assumptions!$B$8:$B$14,MATCH(E44,Assumptions!$A$8:$A$14,0))</f>
        <v>1.75</v>
      </c>
      <c r="P44" s="25" t="s">
        <v>232</v>
      </c>
      <c r="Q44" s="24" t="s">
        <v>324</v>
      </c>
      <c r="R44" s="2" t="s">
        <v>284</v>
      </c>
    </row>
    <row r="45" customFormat="false" ht="15" hidden="false" customHeight="false" outlineLevel="0" collapsed="false">
      <c r="A45" s="2" t="s">
        <v>325</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326</v>
      </c>
      <c r="R45" s="2" t="s">
        <v>327</v>
      </c>
    </row>
    <row r="46" customFormat="false" ht="15" hidden="false" customHeight="false" outlineLevel="0" collapsed="false">
      <c r="A46" s="2" t="s">
        <v>328</v>
      </c>
      <c r="B46" s="10" t="s">
        <v>43</v>
      </c>
      <c r="C46" s="10" t="s">
        <v>231</v>
      </c>
      <c r="D46" s="10" t="s">
        <v>14</v>
      </c>
      <c r="E46" s="10" t="s">
        <v>15</v>
      </c>
      <c r="F46" s="15" t="n">
        <v>22.1667</v>
      </c>
      <c r="G46" s="15" t="n">
        <v>1.5</v>
      </c>
      <c r="H46" s="21" t="n">
        <f aca="false">F46+G46</f>
        <v>23.6667</v>
      </c>
      <c r="I46" s="2" t="n">
        <f aca="false">ROUND(H46*60,0)</f>
        <v>1420</v>
      </c>
      <c r="J46" s="2" t="n">
        <f aca="false">ROUND(F46*60,0)</f>
        <v>1330</v>
      </c>
      <c r="K46" s="2" t="n">
        <f aca="false">ROUND(G46*60,0)</f>
        <v>90</v>
      </c>
      <c r="L46" s="9" t="s">
        <v>87</v>
      </c>
      <c r="M46" s="22" t="n">
        <f aca="false">F46*IF(L46="CFO",Assumptions!$B$5,Assumptions!$B$4)+G46*Assumptions!$B$5</f>
        <v>2480.8365</v>
      </c>
      <c r="N46" s="16" t="n">
        <f aca="false">F46*INDEX(Assumptions!$B$8:$B$14,MATCH(E46,Assumptions!$A$8:$A$14,0))</f>
        <v>22.1667</v>
      </c>
      <c r="O46" s="16" t="n">
        <f aca="false">G46*INDEX(Assumptions!$B$8:$B$14,MATCH(E46,Assumptions!$A$8:$A$14,0))</f>
        <v>1.5</v>
      </c>
      <c r="P46" s="25" t="s">
        <v>232</v>
      </c>
      <c r="Q46" s="24" t="s">
        <v>329</v>
      </c>
      <c r="R46" s="2" t="s">
        <v>327</v>
      </c>
    </row>
    <row r="47" customFormat="false" ht="15" hidden="false" customHeight="false" outlineLevel="0" collapsed="false">
      <c r="A47" s="2" t="s">
        <v>330</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331</v>
      </c>
      <c r="R47" s="2" t="s">
        <v>327</v>
      </c>
    </row>
    <row r="48" customFormat="false" ht="15" hidden="false" customHeight="false" outlineLevel="0" collapsed="false">
      <c r="A48" s="2" t="s">
        <v>332</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294</v>
      </c>
    </row>
    <row r="49" customFormat="false" ht="15" hidden="false" customHeight="false" outlineLevel="0" collapsed="false">
      <c r="A49" s="2" t="s">
        <v>333</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334</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335</v>
      </c>
      <c r="R50" s="2" t="s">
        <v>235</v>
      </c>
    </row>
    <row r="51" customFormat="false" ht="15" hidden="false" customHeight="false" outlineLevel="0" collapsed="false">
      <c r="A51" s="2" t="s">
        <v>336</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335</v>
      </c>
      <c r="R51" s="2" t="s">
        <v>235</v>
      </c>
    </row>
    <row r="52" customFormat="false" ht="15" hidden="false" customHeight="false" outlineLevel="0" collapsed="false">
      <c r="A52" s="2" t="s">
        <v>337</v>
      </c>
      <c r="B52" s="10" t="s">
        <v>46</v>
      </c>
      <c r="C52" s="10" t="s">
        <v>237</v>
      </c>
      <c r="D52" s="10" t="s">
        <v>17</v>
      </c>
      <c r="E52" s="10" t="s">
        <v>13</v>
      </c>
      <c r="F52" s="15" t="n">
        <v>18.5833</v>
      </c>
      <c r="G52" s="15" t="n">
        <v>0.25</v>
      </c>
      <c r="H52" s="21" t="n">
        <f aca="false">F52+G52</f>
        <v>18.8333</v>
      </c>
      <c r="I52" s="2" t="n">
        <f aca="false">ROUND(H52*60,0)</f>
        <v>1130</v>
      </c>
      <c r="J52" s="2" t="n">
        <f aca="false">ROUND(F52*60,0)</f>
        <v>1115</v>
      </c>
      <c r="K52" s="2" t="n">
        <f aca="false">ROUND(G52*60,0)</f>
        <v>15</v>
      </c>
      <c r="L52" s="9" t="s">
        <v>87</v>
      </c>
      <c r="M52" s="22" t="n">
        <f aca="false">F52*IF(L52="CFO",Assumptions!$B$5,Assumptions!$B$4)+G52*Assumptions!$B$5</f>
        <v>1827.9135</v>
      </c>
      <c r="N52" s="16" t="n">
        <f aca="false">F52*INDEX(Assumptions!$B$8:$B$14,MATCH(E52,Assumptions!$A$8:$A$14,0))</f>
        <v>6.19443333333333</v>
      </c>
      <c r="O52" s="16" t="n">
        <f aca="false">G52*INDEX(Assumptions!$B$8:$B$14,MATCH(E52,Assumptions!$A$8:$A$14,0))</f>
        <v>0.0833333333333333</v>
      </c>
      <c r="P52" s="25" t="s">
        <v>232</v>
      </c>
      <c r="Q52" s="24" t="s">
        <v>338</v>
      </c>
      <c r="R52" s="2" t="s">
        <v>235</v>
      </c>
    </row>
    <row r="53" customFormat="false" ht="15" hidden="false" customHeight="false" outlineLevel="0" collapsed="false">
      <c r="A53" s="2" t="s">
        <v>339</v>
      </c>
      <c r="B53" s="10" t="s">
        <v>203</v>
      </c>
      <c r="C53" s="10" t="s">
        <v>161</v>
      </c>
      <c r="D53" s="10" t="s">
        <v>96</v>
      </c>
      <c r="E53" s="10" t="s">
        <v>161</v>
      </c>
      <c r="F53" s="21"/>
      <c r="G53" s="21"/>
      <c r="H53" s="21"/>
      <c r="I53" s="2"/>
      <c r="J53" s="2"/>
      <c r="K53" s="2"/>
      <c r="L53" s="2"/>
      <c r="M53" s="29"/>
      <c r="N53" s="21"/>
      <c r="O53" s="21"/>
      <c r="P53" s="30" t="s">
        <v>318</v>
      </c>
      <c r="Q53" s="24" t="s">
        <v>340</v>
      </c>
      <c r="R53" s="2"/>
    </row>
    <row r="54" customFormat="false" ht="15" hidden="false" customHeight="false" outlineLevel="0" collapsed="false">
      <c r="A54" s="2" t="s">
        <v>341</v>
      </c>
      <c r="B54" s="10" t="s">
        <v>203</v>
      </c>
      <c r="C54" s="10" t="s">
        <v>271</v>
      </c>
      <c r="D54" s="10" t="s">
        <v>28</v>
      </c>
      <c r="E54" s="10" t="s">
        <v>21</v>
      </c>
      <c r="F54" s="21"/>
      <c r="G54" s="21"/>
      <c r="H54" s="21"/>
      <c r="I54" s="2"/>
      <c r="J54" s="2"/>
      <c r="K54" s="2"/>
      <c r="L54" s="2"/>
      <c r="M54" s="29"/>
      <c r="N54" s="21"/>
      <c r="O54" s="21"/>
      <c r="P54" s="30" t="s">
        <v>318</v>
      </c>
      <c r="Q54" s="24" t="s">
        <v>340</v>
      </c>
      <c r="R54" s="2"/>
    </row>
    <row r="55" customFormat="false" ht="15" hidden="false" customHeight="false" outlineLevel="0" collapsed="false">
      <c r="A55" s="2" t="s">
        <v>342</v>
      </c>
      <c r="B55" s="10" t="s">
        <v>203</v>
      </c>
      <c r="C55" s="10" t="s">
        <v>240</v>
      </c>
      <c r="D55" s="10" t="s">
        <v>343</v>
      </c>
      <c r="E55" s="10" t="s">
        <v>15</v>
      </c>
      <c r="F55" s="21"/>
      <c r="G55" s="21"/>
      <c r="H55" s="21"/>
      <c r="I55" s="2"/>
      <c r="J55" s="2"/>
      <c r="K55" s="2"/>
      <c r="L55" s="2"/>
      <c r="M55" s="29"/>
      <c r="N55" s="21"/>
      <c r="O55" s="21"/>
      <c r="P55" s="30" t="s">
        <v>318</v>
      </c>
      <c r="Q55" s="24" t="s">
        <v>340</v>
      </c>
      <c r="R55" s="2"/>
    </row>
    <row r="56" customFormat="false" ht="15" hidden="false" customHeight="false" outlineLevel="0" collapsed="false">
      <c r="A56" s="2" t="s">
        <v>344</v>
      </c>
      <c r="B56" s="10" t="s">
        <v>203</v>
      </c>
      <c r="C56" s="10" t="s">
        <v>231</v>
      </c>
      <c r="D56" s="10" t="s">
        <v>14</v>
      </c>
      <c r="E56" s="10" t="s">
        <v>15</v>
      </c>
      <c r="F56" s="21"/>
      <c r="G56" s="21"/>
      <c r="H56" s="21"/>
      <c r="I56" s="2"/>
      <c r="J56" s="2"/>
      <c r="K56" s="2"/>
      <c r="L56" s="2"/>
      <c r="M56" s="29"/>
      <c r="N56" s="21"/>
      <c r="O56" s="21"/>
      <c r="P56" s="30" t="s">
        <v>318</v>
      </c>
      <c r="Q56" s="24" t="s">
        <v>340</v>
      </c>
      <c r="R56" s="2"/>
    </row>
    <row r="57" customFormat="false" ht="15" hidden="false" customHeight="false" outlineLevel="0" collapsed="false">
      <c r="A57" s="2" t="s">
        <v>345</v>
      </c>
      <c r="B57" s="10" t="s">
        <v>203</v>
      </c>
      <c r="C57" s="10" t="s">
        <v>240</v>
      </c>
      <c r="D57" s="10" t="s">
        <v>49</v>
      </c>
      <c r="E57" s="10" t="s">
        <v>15</v>
      </c>
      <c r="F57" s="21"/>
      <c r="G57" s="21"/>
      <c r="H57" s="21"/>
      <c r="I57" s="2"/>
      <c r="J57" s="2"/>
      <c r="K57" s="2"/>
      <c r="L57" s="2"/>
      <c r="M57" s="29"/>
      <c r="N57" s="21"/>
      <c r="O57" s="21"/>
      <c r="P57" s="30" t="s">
        <v>318</v>
      </c>
      <c r="Q57" s="24" t="s">
        <v>340</v>
      </c>
      <c r="R57" s="2"/>
    </row>
    <row r="58" customFormat="false" ht="15" hidden="false" customHeight="false" outlineLevel="0" collapsed="false">
      <c r="A58" s="2" t="s">
        <v>346</v>
      </c>
      <c r="B58" s="10" t="s">
        <v>203</v>
      </c>
      <c r="C58" s="10" t="s">
        <v>237</v>
      </c>
      <c r="D58" s="10" t="s">
        <v>347</v>
      </c>
      <c r="E58" s="10" t="s">
        <v>13</v>
      </c>
      <c r="F58" s="21"/>
      <c r="G58" s="21"/>
      <c r="H58" s="21"/>
      <c r="I58" s="2"/>
      <c r="J58" s="2"/>
      <c r="K58" s="2"/>
      <c r="L58" s="2"/>
      <c r="M58" s="29"/>
      <c r="N58" s="21"/>
      <c r="O58" s="21"/>
      <c r="P58" s="30" t="s">
        <v>318</v>
      </c>
      <c r="Q58" s="24" t="s">
        <v>340</v>
      </c>
      <c r="R58" s="2"/>
    </row>
    <row r="59" customFormat="false" ht="15" hidden="false" customHeight="false" outlineLevel="0" collapsed="false">
      <c r="A59" s="2" t="s">
        <v>348</v>
      </c>
      <c r="B59" s="10" t="s">
        <v>203</v>
      </c>
      <c r="C59" s="10" t="s">
        <v>240</v>
      </c>
      <c r="D59" s="10" t="s">
        <v>349</v>
      </c>
      <c r="E59" s="10" t="s">
        <v>13</v>
      </c>
      <c r="F59" s="21"/>
      <c r="G59" s="21"/>
      <c r="H59" s="21"/>
      <c r="I59" s="2"/>
      <c r="J59" s="2"/>
      <c r="K59" s="2"/>
      <c r="L59" s="2"/>
      <c r="M59" s="29"/>
      <c r="N59" s="21"/>
      <c r="O59" s="21"/>
      <c r="P59" s="30" t="s">
        <v>318</v>
      </c>
      <c r="Q59" s="24" t="s">
        <v>340</v>
      </c>
      <c r="R59" s="2"/>
    </row>
    <row r="60" customFormat="false" ht="15" hidden="false" customHeight="false" outlineLevel="0" collapsed="false">
      <c r="A60" s="2" t="s">
        <v>350</v>
      </c>
      <c r="B60" s="10" t="s">
        <v>203</v>
      </c>
      <c r="C60" s="10" t="s">
        <v>240</v>
      </c>
      <c r="D60" s="10" t="s">
        <v>60</v>
      </c>
      <c r="E60" s="10" t="s">
        <v>13</v>
      </c>
      <c r="F60" s="21"/>
      <c r="G60" s="21"/>
      <c r="H60" s="21"/>
      <c r="I60" s="2"/>
      <c r="J60" s="2"/>
      <c r="K60" s="2"/>
      <c r="L60" s="2"/>
      <c r="M60" s="29"/>
      <c r="N60" s="21"/>
      <c r="O60" s="21"/>
      <c r="P60" s="30" t="s">
        <v>318</v>
      </c>
      <c r="Q60" s="24" t="s">
        <v>340</v>
      </c>
      <c r="R60" s="2"/>
    </row>
    <row r="61" customFormat="false" ht="15" hidden="false" customHeight="false" outlineLevel="0" collapsed="false">
      <c r="A61" s="2" t="s">
        <v>351</v>
      </c>
      <c r="B61" s="10" t="s">
        <v>203</v>
      </c>
      <c r="C61" s="10" t="s">
        <v>237</v>
      </c>
      <c r="D61" s="10" t="s">
        <v>29</v>
      </c>
      <c r="E61" s="10" t="s">
        <v>30</v>
      </c>
      <c r="F61" s="21"/>
      <c r="G61" s="21"/>
      <c r="H61" s="21"/>
      <c r="I61" s="2"/>
      <c r="J61" s="2"/>
      <c r="K61" s="2"/>
      <c r="L61" s="2"/>
      <c r="M61" s="29"/>
      <c r="N61" s="21"/>
      <c r="O61" s="21"/>
      <c r="P61" s="30" t="s">
        <v>318</v>
      </c>
      <c r="Q61" s="24" t="s">
        <v>340</v>
      </c>
      <c r="R61" s="2"/>
    </row>
    <row r="62" customFormat="false" ht="15" hidden="false" customHeight="false" outlineLevel="0" collapsed="false">
      <c r="A62" s="2" t="s">
        <v>352</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353</v>
      </c>
      <c r="B63" s="10" t="s">
        <v>47</v>
      </c>
      <c r="C63" s="10" t="s">
        <v>231</v>
      </c>
      <c r="D63" s="10" t="s">
        <v>14</v>
      </c>
      <c r="E63" s="10" t="s">
        <v>15</v>
      </c>
      <c r="F63" s="15" t="n">
        <v>0.5</v>
      </c>
      <c r="G63" s="15" t="n">
        <v>0.3833</v>
      </c>
      <c r="H63" s="21" t="n">
        <f aca="false">F63+G63</f>
        <v>0.8833</v>
      </c>
      <c r="I63" s="2" t="n">
        <f aca="false">ROUND(H63*60,0)</f>
        <v>53</v>
      </c>
      <c r="J63" s="2" t="n">
        <f aca="false">ROUND(F63*60,0)</f>
        <v>30</v>
      </c>
      <c r="K63" s="2" t="n">
        <f aca="false">ROUND(G63*60,0)</f>
        <v>23</v>
      </c>
      <c r="L63" s="9" t="s">
        <v>87</v>
      </c>
      <c r="M63" s="22" t="n">
        <f aca="false">F63*IF(L63="CFO",Assumptions!$B$5,Assumptions!$B$4)+G63*Assumptions!$B$5</f>
        <v>143.325</v>
      </c>
      <c r="N63" s="16" t="n">
        <f aca="false">F63*INDEX(Assumptions!$B$8:$B$14,MATCH(E63,Assumptions!$A$8:$A$14,0))</f>
        <v>0.5</v>
      </c>
      <c r="O63" s="16" t="n">
        <f aca="false">G63*INDEX(Assumptions!$B$8:$B$14,MATCH(E63,Assumptions!$A$8:$A$14,0))</f>
        <v>0.3833</v>
      </c>
      <c r="P63" s="26" t="s">
        <v>262</v>
      </c>
      <c r="Q63" s="24" t="s">
        <v>263</v>
      </c>
      <c r="R63" s="2" t="s">
        <v>260</v>
      </c>
    </row>
    <row r="64" customFormat="false" ht="15" hidden="false" customHeight="false" outlineLevel="0" collapsed="false">
      <c r="A64" s="2" t="s">
        <v>354</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355</v>
      </c>
      <c r="R64" s="2" t="s">
        <v>294</v>
      </c>
    </row>
    <row r="65" customFormat="false" ht="15" hidden="false" customHeight="false" outlineLevel="0" collapsed="false">
      <c r="A65" s="2" t="s">
        <v>356</v>
      </c>
      <c r="B65" s="10" t="s">
        <v>48</v>
      </c>
      <c r="C65" s="10" t="s">
        <v>231</v>
      </c>
      <c r="D65" s="10" t="s">
        <v>14</v>
      </c>
      <c r="E65" s="10" t="s">
        <v>15</v>
      </c>
      <c r="F65" s="15" t="n">
        <v>1.6667</v>
      </c>
      <c r="G65" s="15" t="n">
        <v>0.3833</v>
      </c>
      <c r="H65" s="21" t="n">
        <f aca="false">F65+G65</f>
        <v>2.05</v>
      </c>
      <c r="I65" s="2" t="n">
        <f aca="false">ROUND(H65*60,0)</f>
        <v>123</v>
      </c>
      <c r="J65" s="2" t="n">
        <f aca="false">ROUND(F65*60,0)</f>
        <v>100</v>
      </c>
      <c r="K65" s="2" t="n">
        <f aca="false">ROUND(G65*60,0)</f>
        <v>23</v>
      </c>
      <c r="L65" s="9" t="s">
        <v>87</v>
      </c>
      <c r="M65" s="22" t="n">
        <f aca="false">F65*IF(L65="CFO",Assumptions!$B$5,Assumptions!$B$4)+G65*Assumptions!$B$5</f>
        <v>254.1615</v>
      </c>
      <c r="N65" s="16" t="n">
        <f aca="false">F65*INDEX(Assumptions!$B$8:$B$14,MATCH(E65,Assumptions!$A$8:$A$14,0))</f>
        <v>1.6667</v>
      </c>
      <c r="O65" s="16" t="n">
        <f aca="false">G65*INDEX(Assumptions!$B$8:$B$14,MATCH(E65,Assumptions!$A$8:$A$14,0))</f>
        <v>0.3833</v>
      </c>
      <c r="P65" s="27" t="s">
        <v>265</v>
      </c>
      <c r="Q65" s="24" t="s">
        <v>357</v>
      </c>
      <c r="R65" s="2" t="s">
        <v>294</v>
      </c>
    </row>
    <row r="66" customFormat="false" ht="15" hidden="false" customHeight="false" outlineLevel="0" collapsed="false">
      <c r="A66" s="2" t="s">
        <v>358</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359</v>
      </c>
      <c r="R66" s="2" t="s">
        <v>294</v>
      </c>
    </row>
    <row r="67" customFormat="false" ht="15" hidden="false" customHeight="false" outlineLevel="0" collapsed="false">
      <c r="A67" s="2" t="s">
        <v>360</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361</v>
      </c>
      <c r="B68" s="10" t="s">
        <v>50</v>
      </c>
      <c r="C68" s="10" t="s">
        <v>231</v>
      </c>
      <c r="D68" s="10" t="s">
        <v>14</v>
      </c>
      <c r="E68" s="10" t="s">
        <v>15</v>
      </c>
      <c r="F68" s="15" t="n">
        <v>35.3333</v>
      </c>
      <c r="G68" s="15" t="n">
        <v>1.5</v>
      </c>
      <c r="H68" s="21" t="n">
        <f aca="false">F68+G68</f>
        <v>36.8333</v>
      </c>
      <c r="I68" s="2" t="n">
        <f aca="false">ROUND(H68*60,0)</f>
        <v>2210</v>
      </c>
      <c r="J68" s="2" t="n">
        <f aca="false">ROUND(F68*60,0)</f>
        <v>2120</v>
      </c>
      <c r="K68" s="2" t="n">
        <f aca="false">ROUND(G68*60,0)</f>
        <v>90</v>
      </c>
      <c r="L68" s="9" t="s">
        <v>87</v>
      </c>
      <c r="M68" s="22" t="n">
        <f aca="false">F68*IF(L68="CFO",Assumptions!$B$5,Assumptions!$B$4)+G68*Assumptions!$B$5</f>
        <v>3731.6635</v>
      </c>
      <c r="N68" s="16" t="n">
        <f aca="false">F68*INDEX(Assumptions!$B$8:$B$14,MATCH(E68,Assumptions!$A$8:$A$14,0))</f>
        <v>35.3333</v>
      </c>
      <c r="O68" s="16" t="n">
        <f aca="false">G68*INDEX(Assumptions!$B$8:$B$14,MATCH(E68,Assumptions!$A$8:$A$14,0))</f>
        <v>1.5</v>
      </c>
      <c r="P68" s="25" t="s">
        <v>232</v>
      </c>
      <c r="Q68" s="24" t="s">
        <v>362</v>
      </c>
      <c r="R68" s="2" t="s">
        <v>247</v>
      </c>
    </row>
    <row r="69" customFormat="false" ht="15" hidden="false" customHeight="false" outlineLevel="0" collapsed="false">
      <c r="A69" s="2" t="s">
        <v>363</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364</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365</v>
      </c>
      <c r="B71" s="10" t="s">
        <v>52</v>
      </c>
      <c r="C71" s="10" t="s">
        <v>231</v>
      </c>
      <c r="D71" s="10" t="s">
        <v>14</v>
      </c>
      <c r="E71" s="10" t="s">
        <v>15</v>
      </c>
      <c r="F71" s="15" t="n">
        <v>3.25</v>
      </c>
      <c r="G71" s="15" t="n">
        <v>0.7</v>
      </c>
      <c r="H71" s="21" t="n">
        <f aca="false">F71+G71</f>
        <v>3.95</v>
      </c>
      <c r="I71" s="2" t="n">
        <f aca="false">ROUND(H71*60,0)</f>
        <v>237</v>
      </c>
      <c r="J71" s="2" t="n">
        <f aca="false">ROUND(F71*60,0)</f>
        <v>195</v>
      </c>
      <c r="K71" s="2" t="n">
        <f aca="false">ROUND(G71*60,0)</f>
        <v>42</v>
      </c>
      <c r="L71" s="9" t="s">
        <v>87</v>
      </c>
      <c r="M71" s="22" t="n">
        <f aca="false">F71*IF(L71="CFO",Assumptions!$B$5,Assumptions!$B$4)+G71*Assumptions!$B$5</f>
        <v>483.75</v>
      </c>
      <c r="N71" s="16" t="n">
        <f aca="false">F71*INDEX(Assumptions!$B$8:$B$14,MATCH(E71,Assumptions!$A$8:$A$14,0))</f>
        <v>3.25</v>
      </c>
      <c r="O71" s="16" t="n">
        <f aca="false">G71*INDEX(Assumptions!$B$8:$B$14,MATCH(E71,Assumptions!$A$8:$A$14,0))</f>
        <v>0.7</v>
      </c>
      <c r="P71" s="25" t="s">
        <v>232</v>
      </c>
      <c r="Q71" s="24" t="s">
        <v>366</v>
      </c>
      <c r="R71" s="2" t="s">
        <v>284</v>
      </c>
    </row>
    <row r="72" customFormat="false" ht="15" hidden="false" customHeight="false" outlineLevel="0" collapsed="false">
      <c r="A72" s="2" t="s">
        <v>367</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368</v>
      </c>
      <c r="B73" s="10" t="s">
        <v>53</v>
      </c>
      <c r="C73" s="10" t="s">
        <v>231</v>
      </c>
      <c r="D73" s="10" t="s">
        <v>14</v>
      </c>
      <c r="E73" s="10" t="s">
        <v>15</v>
      </c>
      <c r="F73" s="15" t="n">
        <v>1.75</v>
      </c>
      <c r="G73" s="15" t="n">
        <v>0.7</v>
      </c>
      <c r="H73" s="21" t="n">
        <f aca="false">F73+G73</f>
        <v>2.45</v>
      </c>
      <c r="I73" s="2" t="n">
        <f aca="false">ROUND(H73*60,0)</f>
        <v>147</v>
      </c>
      <c r="J73" s="2" t="n">
        <f aca="false">ROUND(F73*60,0)</f>
        <v>105</v>
      </c>
      <c r="K73" s="2" t="n">
        <f aca="false">ROUND(G73*60,0)</f>
        <v>42</v>
      </c>
      <c r="L73" s="9" t="s">
        <v>87</v>
      </c>
      <c r="M73" s="22" t="n">
        <f aca="false">F73*IF(L73="CFO",Assumptions!$B$5,Assumptions!$B$4)+G73*Assumptions!$B$5</f>
        <v>341.25</v>
      </c>
      <c r="N73" s="16" t="n">
        <f aca="false">F73*INDEX(Assumptions!$B$8:$B$14,MATCH(E73,Assumptions!$A$8:$A$14,0))</f>
        <v>1.75</v>
      </c>
      <c r="O73" s="16" t="n">
        <f aca="false">G73*INDEX(Assumptions!$B$8:$B$14,MATCH(E73,Assumptions!$A$8:$A$14,0))</f>
        <v>0.7</v>
      </c>
      <c r="P73" s="25" t="s">
        <v>232</v>
      </c>
      <c r="Q73" s="24" t="s">
        <v>369</v>
      </c>
      <c r="R73" s="2" t="s">
        <v>229</v>
      </c>
    </row>
    <row r="74" customFormat="false" ht="15" hidden="false" customHeight="false" outlineLevel="0" collapsed="false">
      <c r="A74" s="2" t="s">
        <v>370</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371</v>
      </c>
      <c r="R74" s="2" t="s">
        <v>284</v>
      </c>
    </row>
    <row r="75" customFormat="false" ht="15" hidden="false" customHeight="false" outlineLevel="0" collapsed="false">
      <c r="A75" s="2" t="s">
        <v>372</v>
      </c>
      <c r="B75" s="10" t="s">
        <v>54</v>
      </c>
      <c r="C75" s="10" t="s">
        <v>373</v>
      </c>
      <c r="D75" s="10" t="s">
        <v>55</v>
      </c>
      <c r="E75" s="10" t="s">
        <v>56</v>
      </c>
      <c r="F75" s="15" t="n">
        <v>0.3333</v>
      </c>
      <c r="G75" s="15" t="n">
        <v>0.1667</v>
      </c>
      <c r="H75" s="21" t="n">
        <f aca="false">F75+G75</f>
        <v>0.5</v>
      </c>
      <c r="I75" s="2" t="n">
        <f aca="false">ROUND(H75*60,0)</f>
        <v>30</v>
      </c>
      <c r="J75" s="2" t="n">
        <f aca="false">ROUND(F75*60,0)</f>
        <v>20</v>
      </c>
      <c r="K75" s="2" t="n">
        <f aca="false">ROUND(G75*60,0)</f>
        <v>10</v>
      </c>
      <c r="L75" s="9" t="s">
        <v>87</v>
      </c>
      <c r="M75" s="22" t="n">
        <f aca="false">F75*IF(L75="CFO",Assumptions!$B$5,Assumptions!$B$4)+G75*Assumptions!$B$5</f>
        <v>73.3385</v>
      </c>
      <c r="N75" s="16" t="n">
        <f aca="false">F75*INDEX(Assumptions!$B$8:$B$14,MATCH(E75,Assumptions!$A$8:$A$14,0))</f>
        <v>0.72215</v>
      </c>
      <c r="O75" s="16" t="n">
        <f aca="false">G75*INDEX(Assumptions!$B$8:$B$14,MATCH(E75,Assumptions!$A$8:$A$14,0))</f>
        <v>0.361183333333333</v>
      </c>
      <c r="P75" s="25" t="s">
        <v>232</v>
      </c>
      <c r="Q75" s="24" t="s">
        <v>374</v>
      </c>
      <c r="R75" s="2" t="s">
        <v>284</v>
      </c>
    </row>
    <row r="76" customFormat="false" ht="15" hidden="false" customHeight="false" outlineLevel="0" collapsed="false">
      <c r="A76" s="2" t="s">
        <v>375</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376</v>
      </c>
      <c r="R76" s="2" t="s">
        <v>284</v>
      </c>
    </row>
    <row r="77" customFormat="false" ht="15" hidden="false" customHeight="false" outlineLevel="0" collapsed="false">
      <c r="A77" s="2" t="s">
        <v>377</v>
      </c>
      <c r="B77" s="10" t="s">
        <v>54</v>
      </c>
      <c r="C77" s="10" t="s">
        <v>231</v>
      </c>
      <c r="D77" s="10" t="s">
        <v>14</v>
      </c>
      <c r="E77" s="10" t="s">
        <v>15</v>
      </c>
      <c r="F77" s="15" t="n">
        <v>4.6667</v>
      </c>
      <c r="G77" s="15" t="n">
        <v>0.25</v>
      </c>
      <c r="H77" s="21" t="n">
        <f aca="false">F77+G77</f>
        <v>4.9167</v>
      </c>
      <c r="I77" s="2" t="n">
        <f aca="false">ROUND(H77*60,0)</f>
        <v>295</v>
      </c>
      <c r="J77" s="2" t="n">
        <f aca="false">ROUND(F77*60,0)</f>
        <v>280</v>
      </c>
      <c r="K77" s="2" t="n">
        <f aca="false">ROUND(G77*60,0)</f>
        <v>15</v>
      </c>
      <c r="L77" s="9" t="s">
        <v>87</v>
      </c>
      <c r="M77" s="22" t="n">
        <f aca="false">F77*IF(L77="CFO",Assumptions!$B$5,Assumptions!$B$4)+G77*Assumptions!$B$5</f>
        <v>505.8365</v>
      </c>
      <c r="N77" s="16" t="n">
        <f aca="false">F77*INDEX(Assumptions!$B$8:$B$14,MATCH(E77,Assumptions!$A$8:$A$14,0))</f>
        <v>4.6667</v>
      </c>
      <c r="O77" s="16" t="n">
        <f aca="false">G77*INDEX(Assumptions!$B$8:$B$14,MATCH(E77,Assumptions!$A$8:$A$14,0))</f>
        <v>0.25</v>
      </c>
      <c r="P77" s="28" t="s">
        <v>378</v>
      </c>
      <c r="Q77" s="24" t="s">
        <v>379</v>
      </c>
      <c r="R77" s="2" t="s">
        <v>284</v>
      </c>
    </row>
    <row r="78" customFormat="false" ht="15" hidden="false" customHeight="false" outlineLevel="0" collapsed="false">
      <c r="A78" s="2" t="s">
        <v>380</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381</v>
      </c>
      <c r="B79" s="10" t="s">
        <v>58</v>
      </c>
      <c r="C79" s="10" t="s">
        <v>382</v>
      </c>
      <c r="D79" s="10" t="s">
        <v>59</v>
      </c>
      <c r="E79" s="10" t="s">
        <v>13</v>
      </c>
      <c r="F79" s="15" t="n">
        <v>1.4167</v>
      </c>
      <c r="G79" s="15" t="n">
        <v>0.7</v>
      </c>
      <c r="H79" s="21" t="n">
        <f aca="false">F79+G79</f>
        <v>2.1167</v>
      </c>
      <c r="I79" s="2" t="n">
        <f aca="false">ROUND(H79*60,0)</f>
        <v>127</v>
      </c>
      <c r="J79" s="2" t="n">
        <f aca="false">ROUND(F79*60,0)</f>
        <v>85</v>
      </c>
      <c r="K79" s="2" t="n">
        <f aca="false">ROUND(G79*60,0)</f>
        <v>42</v>
      </c>
      <c r="L79" s="9" t="s">
        <v>87</v>
      </c>
      <c r="M79" s="22" t="n">
        <f aca="false">F79*IF(L79="CFO",Assumptions!$B$5,Assumptions!$B$4)+G79*Assumptions!$B$5</f>
        <v>309.5865</v>
      </c>
      <c r="N79" s="16" t="n">
        <f aca="false">F79*INDEX(Assumptions!$B$8:$B$14,MATCH(E79,Assumptions!$A$8:$A$14,0))</f>
        <v>0.472233333333333</v>
      </c>
      <c r="O79" s="16" t="n">
        <f aca="false">G79*INDEX(Assumptions!$B$8:$B$14,MATCH(E79,Assumptions!$A$8:$A$14,0))</f>
        <v>0.233333333333333</v>
      </c>
      <c r="P79" s="25" t="s">
        <v>232</v>
      </c>
      <c r="Q79" s="24" t="s">
        <v>383</v>
      </c>
      <c r="R79" s="2" t="s">
        <v>235</v>
      </c>
    </row>
    <row r="80" customFormat="false" ht="15" hidden="false" customHeight="false" outlineLevel="0" collapsed="false">
      <c r="A80" s="2" t="s">
        <v>384</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385</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294</v>
      </c>
    </row>
    <row r="82" customFormat="false" ht="15" hidden="false" customHeight="false" outlineLevel="0" collapsed="false">
      <c r="A82" s="2" t="s">
        <v>386</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387</v>
      </c>
      <c r="R82" s="2" t="s">
        <v>294</v>
      </c>
    </row>
    <row r="83" customFormat="false" ht="15" hidden="false" customHeight="false" outlineLevel="0" collapsed="false">
      <c r="A83" s="2" t="s">
        <v>388</v>
      </c>
      <c r="B83" s="10" t="s">
        <v>61</v>
      </c>
      <c r="C83" s="10" t="s">
        <v>231</v>
      </c>
      <c r="D83" s="10" t="s">
        <v>14</v>
      </c>
      <c r="E83" s="10" t="s">
        <v>15</v>
      </c>
      <c r="F83" s="15" t="n">
        <v>5.75</v>
      </c>
      <c r="G83" s="15" t="n">
        <v>0.7</v>
      </c>
      <c r="H83" s="21" t="n">
        <f aca="false">F83+G83</f>
        <v>6.45</v>
      </c>
      <c r="I83" s="2" t="n">
        <f aca="false">ROUND(H83*60,0)</f>
        <v>387</v>
      </c>
      <c r="J83" s="2" t="n">
        <f aca="false">ROUND(F83*60,0)</f>
        <v>345</v>
      </c>
      <c r="K83" s="2" t="n">
        <f aca="false">ROUND(G83*60,0)</f>
        <v>42</v>
      </c>
      <c r="L83" s="9" t="s">
        <v>87</v>
      </c>
      <c r="M83" s="22" t="n">
        <f aca="false">F83*IF(L83="CFO",Assumptions!$B$5,Assumptions!$B$4)+G83*Assumptions!$B$5</f>
        <v>721.25</v>
      </c>
      <c r="N83" s="16" t="n">
        <f aca="false">F83*INDEX(Assumptions!$B$8:$B$14,MATCH(E83,Assumptions!$A$8:$A$14,0))</f>
        <v>5.75</v>
      </c>
      <c r="O83" s="16" t="n">
        <f aca="false">G83*INDEX(Assumptions!$B$8:$B$14,MATCH(E83,Assumptions!$A$8:$A$14,0))</f>
        <v>0.7</v>
      </c>
      <c r="P83" s="25" t="s">
        <v>232</v>
      </c>
      <c r="Q83" s="24" t="s">
        <v>389</v>
      </c>
      <c r="R83" s="2" t="s">
        <v>294</v>
      </c>
    </row>
    <row r="84" customFormat="false" ht="15" hidden="false" customHeight="false" outlineLevel="0" collapsed="false">
      <c r="A84" s="2" t="s">
        <v>390</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391</v>
      </c>
      <c r="R84" s="2" t="s">
        <v>294</v>
      </c>
    </row>
    <row r="85" customFormat="false" ht="15" hidden="false" customHeight="false" outlineLevel="0" collapsed="false">
      <c r="A85" s="2" t="s">
        <v>392</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393</v>
      </c>
      <c r="R85" s="2" t="s">
        <v>235</v>
      </c>
    </row>
    <row r="86" customFormat="false" ht="15" hidden="false" customHeight="false" outlineLevel="0" collapsed="false">
      <c r="A86" s="2" t="s">
        <v>394</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395</v>
      </c>
      <c r="R86" s="2" t="s">
        <v>235</v>
      </c>
    </row>
    <row r="87" customFormat="false" ht="15" hidden="false" customHeight="false" outlineLevel="0" collapsed="false">
      <c r="A87" s="2" t="s">
        <v>396</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397</v>
      </c>
      <c r="R87" s="2"/>
    </row>
    <row r="88" customFormat="false" ht="15" hidden="false" customHeight="false" outlineLevel="0" collapsed="false">
      <c r="A88" s="2" t="s">
        <v>398</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399</v>
      </c>
      <c r="R88" s="2"/>
    </row>
    <row r="89" customFormat="false" ht="15" hidden="false" customHeight="false" outlineLevel="0" collapsed="false">
      <c r="A89" s="2" t="s">
        <v>400</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401</v>
      </c>
      <c r="R89" s="2"/>
    </row>
    <row r="90" customFormat="false" ht="15" hidden="false" customHeight="false" outlineLevel="0" collapsed="false">
      <c r="A90" s="2" t="s">
        <v>402</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403</v>
      </c>
      <c r="B91" s="10" t="s">
        <v>68</v>
      </c>
      <c r="C91" s="10" t="s">
        <v>231</v>
      </c>
      <c r="D91" s="10" t="s">
        <v>14</v>
      </c>
      <c r="E91" s="10" t="s">
        <v>15</v>
      </c>
      <c r="F91" s="15" t="n">
        <v>1.8333</v>
      </c>
      <c r="G91" s="15" t="n">
        <v>1</v>
      </c>
      <c r="H91" s="21" t="n">
        <f aca="false">F91+G91</f>
        <v>2.8333</v>
      </c>
      <c r="I91" s="2" t="n">
        <f aca="false">ROUND(H91*60,0)</f>
        <v>170</v>
      </c>
      <c r="J91" s="2" t="n">
        <f aca="false">ROUND(F91*60,0)</f>
        <v>110</v>
      </c>
      <c r="K91" s="2" t="n">
        <f aca="false">ROUND(G91*60,0)</f>
        <v>60</v>
      </c>
      <c r="L91" s="9" t="s">
        <v>87</v>
      </c>
      <c r="M91" s="22" t="n">
        <f aca="false">F91*IF(L91="CFO",Assumptions!$B$5,Assumptions!$B$4)+G91*Assumptions!$B$5</f>
        <v>424.1635</v>
      </c>
      <c r="N91" s="16" t="n">
        <f aca="false">F91*INDEX(Assumptions!$B$8:$B$14,MATCH(E91,Assumptions!$A$8:$A$14,0))</f>
        <v>1.8333</v>
      </c>
      <c r="O91" s="16" t="n">
        <f aca="false">G91*INDEX(Assumptions!$B$8:$B$14,MATCH(E91,Assumptions!$A$8:$A$14,0))</f>
        <v>1</v>
      </c>
      <c r="P91" s="25" t="s">
        <v>232</v>
      </c>
      <c r="Q91" s="24" t="s">
        <v>404</v>
      </c>
      <c r="R91" s="2" t="s">
        <v>229</v>
      </c>
    </row>
    <row r="92" customFormat="false" ht="15" hidden="false" customHeight="false" outlineLevel="0" collapsed="false">
      <c r="A92" s="2" t="s">
        <v>405</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406</v>
      </c>
      <c r="R92" s="2" t="s">
        <v>260</v>
      </c>
    </row>
    <row r="93" customFormat="false" ht="15" hidden="false" customHeight="false" outlineLevel="0" collapsed="false">
      <c r="A93" s="2" t="s">
        <v>407</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408</v>
      </c>
      <c r="R93" s="2" t="s">
        <v>260</v>
      </c>
    </row>
    <row r="94" customFormat="false" ht="15" hidden="false" customHeight="false" outlineLevel="0" collapsed="false">
      <c r="A94" s="2" t="s">
        <v>409</v>
      </c>
      <c r="B94" s="10" t="s">
        <v>69</v>
      </c>
      <c r="C94" s="10" t="s">
        <v>231</v>
      </c>
      <c r="D94" s="10" t="s">
        <v>14</v>
      </c>
      <c r="E94" s="10" t="s">
        <v>15</v>
      </c>
      <c r="F94" s="15" t="n">
        <v>1</v>
      </c>
      <c r="G94" s="15" t="n">
        <v>0.5</v>
      </c>
      <c r="H94" s="21" t="n">
        <f aca="false">F94+G94</f>
        <v>1.5</v>
      </c>
      <c r="I94" s="2" t="n">
        <f aca="false">ROUND(H94*60,0)</f>
        <v>90</v>
      </c>
      <c r="J94" s="2" t="n">
        <f aca="false">ROUND(F94*60,0)</f>
        <v>60</v>
      </c>
      <c r="K94" s="2" t="n">
        <f aca="false">ROUND(G94*60,0)</f>
        <v>30</v>
      </c>
      <c r="L94" s="9" t="s">
        <v>87</v>
      </c>
      <c r="M94" s="22" t="n">
        <f aca="false">F94*IF(L94="CFO",Assumptions!$B$5,Assumptions!$B$4)+G94*Assumptions!$B$5</f>
        <v>220</v>
      </c>
      <c r="N94" s="16" t="n">
        <f aca="false">F94*INDEX(Assumptions!$B$8:$B$14,MATCH(E94,Assumptions!$A$8:$A$14,0))</f>
        <v>1</v>
      </c>
      <c r="O94" s="16" t="n">
        <f aca="false">G94*INDEX(Assumptions!$B$8:$B$14,MATCH(E94,Assumptions!$A$8:$A$14,0))</f>
        <v>0.5</v>
      </c>
      <c r="P94" s="23" t="s">
        <v>227</v>
      </c>
      <c r="Q94" s="24" t="s">
        <v>410</v>
      </c>
      <c r="R94" s="2" t="s">
        <v>260</v>
      </c>
    </row>
    <row r="95" customFormat="false" ht="15" hidden="false" customHeight="false" outlineLevel="0" collapsed="false">
      <c r="A95" s="2" t="s">
        <v>411</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412</v>
      </c>
      <c r="R95" s="2" t="s">
        <v>260</v>
      </c>
    </row>
    <row r="96" customFormat="false" ht="15" hidden="false" customHeight="false" outlineLevel="0" collapsed="false">
      <c r="A96" s="2" t="s">
        <v>413</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414</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314</v>
      </c>
      <c r="Q97" s="24" t="s">
        <v>415</v>
      </c>
      <c r="R97" s="2" t="s">
        <v>247</v>
      </c>
    </row>
    <row r="98" customFormat="false" ht="15" hidden="false" customHeight="false" outlineLevel="0" collapsed="false">
      <c r="A98" s="2" t="s">
        <v>416</v>
      </c>
      <c r="B98" s="10" t="s">
        <v>70</v>
      </c>
      <c r="C98" s="10" t="s">
        <v>231</v>
      </c>
      <c r="D98" s="10" t="s">
        <v>14</v>
      </c>
      <c r="E98" s="10" t="s">
        <v>15</v>
      </c>
      <c r="F98" s="15" t="n">
        <v>7</v>
      </c>
      <c r="G98" s="15" t="n">
        <v>1</v>
      </c>
      <c r="H98" s="21" t="n">
        <f aca="false">F98+G98</f>
        <v>8</v>
      </c>
      <c r="I98" s="2" t="n">
        <f aca="false">ROUND(H98*60,0)</f>
        <v>480</v>
      </c>
      <c r="J98" s="2" t="n">
        <f aca="false">ROUND(F98*60,0)</f>
        <v>420</v>
      </c>
      <c r="K98" s="2" t="n">
        <f aca="false">ROUND(G98*60,0)</f>
        <v>60</v>
      </c>
      <c r="L98" s="9" t="s">
        <v>185</v>
      </c>
      <c r="M98" s="22" t="n">
        <f aca="false">F98*IF(L98="CFO",Assumptions!$B$5,Assumptions!$B$4)+G98*Assumptions!$B$5</f>
        <v>2000</v>
      </c>
      <c r="N98" s="16" t="n">
        <f aca="false">F98*INDEX(Assumptions!$B$8:$B$14,MATCH(E98,Assumptions!$A$8:$A$14,0))</f>
        <v>7</v>
      </c>
      <c r="O98" s="16" t="n">
        <f aca="false">G98*INDEX(Assumptions!$B$8:$B$14,MATCH(E98,Assumptions!$A$8:$A$14,0))</f>
        <v>1</v>
      </c>
      <c r="P98" s="28" t="s">
        <v>314</v>
      </c>
      <c r="Q98" s="24" t="s">
        <v>417</v>
      </c>
      <c r="R98" s="2" t="s">
        <v>247</v>
      </c>
    </row>
    <row r="99" customFormat="false" ht="15" hidden="false" customHeight="false" outlineLevel="0" collapsed="false">
      <c r="A99" s="2" t="s">
        <v>418</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419</v>
      </c>
      <c r="B100" s="10" t="s">
        <v>71</v>
      </c>
      <c r="C100" s="10" t="s">
        <v>231</v>
      </c>
      <c r="D100" s="10" t="s">
        <v>14</v>
      </c>
      <c r="E100" s="10" t="s">
        <v>15</v>
      </c>
      <c r="F100" s="15" t="n">
        <v>5.5</v>
      </c>
      <c r="G100" s="15" t="n">
        <v>1</v>
      </c>
      <c r="H100" s="21" t="n">
        <f aca="false">F100+G100</f>
        <v>6.5</v>
      </c>
      <c r="I100" s="2" t="n">
        <f aca="false">ROUND(H100*60,0)</f>
        <v>390</v>
      </c>
      <c r="J100" s="2" t="n">
        <f aca="false">ROUND(F100*60,0)</f>
        <v>330</v>
      </c>
      <c r="K100" s="2" t="n">
        <f aca="false">ROUND(G100*60,0)</f>
        <v>60</v>
      </c>
      <c r="L100" s="9" t="s">
        <v>87</v>
      </c>
      <c r="M100" s="22" t="n">
        <f aca="false">F100*IF(L100="CFO",Assumptions!$B$5,Assumptions!$B$4)+G100*Assumptions!$B$5</f>
        <v>772.5</v>
      </c>
      <c r="N100" s="16" t="n">
        <f aca="false">F100*INDEX(Assumptions!$B$8:$B$14,MATCH(E100,Assumptions!$A$8:$A$14,0))</f>
        <v>5.5</v>
      </c>
      <c r="O100" s="16" t="n">
        <f aca="false">G100*INDEX(Assumptions!$B$8:$B$14,MATCH(E100,Assumptions!$A$8:$A$14,0))</f>
        <v>1</v>
      </c>
      <c r="P100" s="25" t="s">
        <v>232</v>
      </c>
      <c r="Q100" s="24" t="s">
        <v>420</v>
      </c>
      <c r="R100" s="2" t="s">
        <v>284</v>
      </c>
    </row>
    <row r="101" customFormat="false" ht="15" hidden="false" customHeight="false" outlineLevel="0" collapsed="false">
      <c r="A101" s="2" t="s">
        <v>421</v>
      </c>
      <c r="B101" s="10" t="s">
        <v>72</v>
      </c>
      <c r="C101" s="10" t="s">
        <v>161</v>
      </c>
      <c r="D101" s="10" t="s">
        <v>96</v>
      </c>
      <c r="E101" s="10" t="s">
        <v>161</v>
      </c>
      <c r="F101" s="16" t="n">
        <f aca="false">IFERROR(INDEX('1099 Oct 30'!$H$5:$H$45,MATCH(B101,'1099 Oct 30'!$A$5:$A$45,0)),0)</f>
        <v>0</v>
      </c>
      <c r="G101" s="15" t="n">
        <v>0</v>
      </c>
      <c r="H101" s="21" t="n">
        <f aca="false">F101+G101</f>
        <v>0</v>
      </c>
      <c r="I101" s="2" t="n">
        <f aca="false">ROUND(H101*60,0)</f>
        <v>0</v>
      </c>
      <c r="J101" s="2" t="n">
        <f aca="false">ROUND(F101*60,0)</f>
        <v>0</v>
      </c>
      <c r="K101" s="2" t="n">
        <f aca="false">ROUND(G101*60,0)</f>
        <v>0</v>
      </c>
      <c r="L101" s="9" t="s">
        <v>87</v>
      </c>
      <c r="M101" s="22" t="n">
        <f aca="false">F101*IF(L101="CFO",Assumptions!$B$5,Assumptions!$B$4)+G101*Assumptions!$B$5</f>
        <v>0</v>
      </c>
      <c r="N101" s="16" t="n">
        <f aca="false">F101*INDEX(Assumptions!$B$8:$B$14,MATCH(E101,Assumptions!$A$8:$A$14,0))</f>
        <v>0</v>
      </c>
      <c r="O101" s="16" t="n">
        <f aca="false">G101*INDEX(Assumptions!$B$8:$B$14,MATCH(E101,Assumptions!$A$8:$A$14,0))</f>
        <v>0</v>
      </c>
      <c r="P101" s="23" t="s">
        <v>227</v>
      </c>
      <c r="Q101" s="24" t="s">
        <v>259</v>
      </c>
      <c r="R101" s="2" t="s">
        <v>235</v>
      </c>
    </row>
    <row r="102" customFormat="false" ht="15" hidden="false" customHeight="false" outlineLevel="0" collapsed="false">
      <c r="A102" s="2" t="s">
        <v>422</v>
      </c>
      <c r="B102" s="10" t="s">
        <v>72</v>
      </c>
      <c r="C102" s="10" t="s">
        <v>237</v>
      </c>
      <c r="D102" s="10" t="s">
        <v>17</v>
      </c>
      <c r="E102" s="10" t="s">
        <v>13</v>
      </c>
      <c r="F102" s="15" t="n">
        <v>1</v>
      </c>
      <c r="G102" s="15" t="n">
        <v>1.5</v>
      </c>
      <c r="H102" s="21" t="n">
        <f aca="false">F102+G102</f>
        <v>2.5</v>
      </c>
      <c r="I102" s="2" t="n">
        <f aca="false">ROUND(H102*60,0)</f>
        <v>150</v>
      </c>
      <c r="J102" s="2" t="n">
        <f aca="false">ROUND(F102*60,0)</f>
        <v>60</v>
      </c>
      <c r="K102" s="2" t="n">
        <f aca="false">ROUND(G102*60,0)</f>
        <v>90</v>
      </c>
      <c r="L102" s="9" t="s">
        <v>185</v>
      </c>
      <c r="M102" s="22" t="n">
        <f aca="false">F102*IF(L102="CFO",Assumptions!$B$5,Assumptions!$B$4)+G102*Assumptions!$B$5</f>
        <v>625</v>
      </c>
      <c r="N102" s="16" t="n">
        <f aca="false">F102*INDEX(Assumptions!$B$8:$B$14,MATCH(E102,Assumptions!$A$8:$A$14,0))</f>
        <v>0.333333333333333</v>
      </c>
      <c r="O102" s="16" t="n">
        <f aca="false">G102*INDEX(Assumptions!$B$8:$B$14,MATCH(E102,Assumptions!$A$8:$A$14,0))</f>
        <v>0.5</v>
      </c>
      <c r="P102" s="25" t="s">
        <v>232</v>
      </c>
      <c r="Q102" s="24" t="s">
        <v>423</v>
      </c>
      <c r="R102" s="2" t="s">
        <v>235</v>
      </c>
    </row>
    <row r="103" customFormat="false" ht="15" hidden="false" customHeight="false" outlineLevel="0" collapsed="false">
      <c r="A103" s="2" t="s">
        <v>424</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425</v>
      </c>
      <c r="R103" s="2" t="s">
        <v>312</v>
      </c>
    </row>
    <row r="104" customFormat="false" ht="15" hidden="false" customHeight="false" outlineLevel="0" collapsed="false">
      <c r="A104" s="2" t="s">
        <v>426</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427</v>
      </c>
      <c r="R104" s="2" t="s">
        <v>312</v>
      </c>
    </row>
    <row r="105" customFormat="false" ht="15" hidden="false" customHeight="false" outlineLevel="0" collapsed="false">
      <c r="A105" s="2" t="s">
        <v>428</v>
      </c>
      <c r="B105" s="10" t="s">
        <v>73</v>
      </c>
      <c r="C105" s="10" t="s">
        <v>231</v>
      </c>
      <c r="D105" s="10" t="s">
        <v>14</v>
      </c>
      <c r="E105" s="10" t="s">
        <v>15</v>
      </c>
      <c r="F105" s="15" t="n">
        <v>1</v>
      </c>
      <c r="G105" s="15" t="n">
        <v>0.5</v>
      </c>
      <c r="H105" s="21" t="n">
        <f aca="false">F105+G105</f>
        <v>1.5</v>
      </c>
      <c r="I105" s="2" t="n">
        <f aca="false">ROUND(H105*60,0)</f>
        <v>90</v>
      </c>
      <c r="J105" s="2" t="n">
        <f aca="false">ROUND(F105*60,0)</f>
        <v>60</v>
      </c>
      <c r="K105" s="2" t="n">
        <f aca="false">ROUND(G105*60,0)</f>
        <v>30</v>
      </c>
      <c r="L105" s="9" t="s">
        <v>87</v>
      </c>
      <c r="M105" s="22" t="n">
        <f aca="false">F105*IF(L105="CFO",Assumptions!$B$5,Assumptions!$B$4)+G105*Assumptions!$B$5</f>
        <v>220</v>
      </c>
      <c r="N105" s="16" t="n">
        <f aca="false">F105*INDEX(Assumptions!$B$8:$B$14,MATCH(E105,Assumptions!$A$8:$A$14,0))</f>
        <v>1</v>
      </c>
      <c r="O105" s="16" t="n">
        <f aca="false">G105*INDEX(Assumptions!$B$8:$B$14,MATCH(E105,Assumptions!$A$8:$A$14,0))</f>
        <v>0.5</v>
      </c>
      <c r="P105" s="28" t="s">
        <v>378</v>
      </c>
      <c r="Q105" s="24" t="s">
        <v>429</v>
      </c>
      <c r="R105" s="2" t="s">
        <v>312</v>
      </c>
    </row>
    <row r="106" customFormat="false" ht="15" hidden="false" customHeight="false" outlineLevel="0" collapsed="false">
      <c r="A106" s="2" t="s">
        <v>430</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431</v>
      </c>
      <c r="R106" s="2" t="s">
        <v>247</v>
      </c>
    </row>
    <row r="107" customFormat="false" ht="15" hidden="false" customHeight="false" outlineLevel="0" collapsed="false">
      <c r="A107" s="2" t="s">
        <v>432</v>
      </c>
      <c r="B107" s="10" t="s">
        <v>74</v>
      </c>
      <c r="C107" s="10" t="s">
        <v>231</v>
      </c>
      <c r="D107" s="10" t="s">
        <v>14</v>
      </c>
      <c r="E107" s="10" t="s">
        <v>15</v>
      </c>
      <c r="F107" s="15" t="n">
        <v>1.5833</v>
      </c>
      <c r="G107" s="15" t="n">
        <v>0.4833</v>
      </c>
      <c r="H107" s="21" t="n">
        <f aca="false">F107+G107</f>
        <v>2.0666</v>
      </c>
      <c r="I107" s="2" t="n">
        <f aca="false">ROUND(H107*60,0)</f>
        <v>124</v>
      </c>
      <c r="J107" s="2" t="n">
        <f aca="false">ROUND(F107*60,0)</f>
        <v>95</v>
      </c>
      <c r="K107" s="2" t="n">
        <f aca="false">ROUND(G107*60,0)</f>
        <v>29</v>
      </c>
      <c r="L107" s="9" t="s">
        <v>87</v>
      </c>
      <c r="M107" s="22" t="n">
        <f aca="false">F107*IF(L107="CFO",Assumptions!$B$5,Assumptions!$B$4)+G107*Assumptions!$B$5</f>
        <v>271.2385</v>
      </c>
      <c r="N107" s="16" t="n">
        <f aca="false">F107*INDEX(Assumptions!$B$8:$B$14,MATCH(E107,Assumptions!$A$8:$A$14,0))</f>
        <v>1.5833</v>
      </c>
      <c r="O107" s="16" t="n">
        <f aca="false">G107*INDEX(Assumptions!$B$8:$B$14,MATCH(E107,Assumptions!$A$8:$A$14,0))</f>
        <v>0.4833</v>
      </c>
      <c r="P107" s="28" t="s">
        <v>314</v>
      </c>
      <c r="Q107" s="24" t="s">
        <v>433</v>
      </c>
      <c r="R107" s="2" t="s">
        <v>247</v>
      </c>
    </row>
    <row r="108" customFormat="false" ht="15" hidden="false" customHeight="false" outlineLevel="0" collapsed="false">
      <c r="A108" s="2" t="s">
        <v>434</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435</v>
      </c>
      <c r="B109" s="10" t="s">
        <v>75</v>
      </c>
      <c r="C109" s="10" t="s">
        <v>231</v>
      </c>
      <c r="D109" s="10" t="s">
        <v>14</v>
      </c>
      <c r="E109" s="10" t="s">
        <v>15</v>
      </c>
      <c r="F109" s="15" t="n">
        <v>0.75</v>
      </c>
      <c r="G109" s="15" t="n">
        <v>0.3833</v>
      </c>
      <c r="H109" s="21" t="n">
        <f aca="false">F109+G109</f>
        <v>1.1333</v>
      </c>
      <c r="I109" s="2" t="n">
        <f aca="false">ROUND(H109*60,0)</f>
        <v>68</v>
      </c>
      <c r="J109" s="2" t="n">
        <f aca="false">ROUND(F109*60,0)</f>
        <v>45</v>
      </c>
      <c r="K109" s="2" t="n">
        <f aca="false">ROUND(G109*60,0)</f>
        <v>23</v>
      </c>
      <c r="L109" s="9" t="s">
        <v>87</v>
      </c>
      <c r="M109" s="22" t="n">
        <f aca="false">F109*IF(L109="CFO",Assumptions!$B$5,Assumptions!$B$4)+G109*Assumptions!$B$5</f>
        <v>167.075</v>
      </c>
      <c r="N109" s="16" t="n">
        <f aca="false">F109*INDEX(Assumptions!$B$8:$B$14,MATCH(E109,Assumptions!$A$8:$A$14,0))</f>
        <v>0.75</v>
      </c>
      <c r="O109" s="16" t="n">
        <f aca="false">G109*INDEX(Assumptions!$B$8:$B$14,MATCH(E109,Assumptions!$A$8:$A$14,0))</f>
        <v>0.3833</v>
      </c>
      <c r="P109" s="26" t="s">
        <v>262</v>
      </c>
      <c r="Q109" s="24" t="s">
        <v>263</v>
      </c>
      <c r="R109" s="2" t="s">
        <v>229</v>
      </c>
    </row>
    <row r="110" customFormat="false" ht="15" hidden="false" customHeight="false" outlineLevel="0" collapsed="false">
      <c r="A110" s="2" t="s">
        <v>436</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437</v>
      </c>
      <c r="B111" s="10" t="s">
        <v>76</v>
      </c>
      <c r="C111" s="10" t="s">
        <v>373</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314</v>
      </c>
      <c r="Q111" s="24" t="s">
        <v>438</v>
      </c>
      <c r="R111" s="2" t="s">
        <v>229</v>
      </c>
    </row>
    <row r="112" customFormat="false" ht="15" hidden="false" customHeight="false" outlineLevel="0" collapsed="false">
      <c r="A112" s="2" t="s">
        <v>439</v>
      </c>
      <c r="B112" s="10" t="s">
        <v>76</v>
      </c>
      <c r="C112" s="10" t="s">
        <v>231</v>
      </c>
      <c r="D112" s="10" t="s">
        <v>14</v>
      </c>
      <c r="E112" s="10" t="s">
        <v>15</v>
      </c>
      <c r="F112" s="15" t="n">
        <v>5.5833</v>
      </c>
      <c r="G112" s="15" t="n">
        <v>0.5</v>
      </c>
      <c r="H112" s="21" t="n">
        <f aca="false">F112+G112</f>
        <v>6.0833</v>
      </c>
      <c r="I112" s="2" t="n">
        <f aca="false">ROUND(H112*60,0)</f>
        <v>365</v>
      </c>
      <c r="J112" s="2" t="n">
        <f aca="false">ROUND(F112*60,0)</f>
        <v>335</v>
      </c>
      <c r="K112" s="2" t="n">
        <f aca="false">ROUND(G112*60,0)</f>
        <v>30</v>
      </c>
      <c r="L112" s="9" t="s">
        <v>87</v>
      </c>
      <c r="M112" s="22" t="n">
        <f aca="false">F112*IF(L112="CFO",Assumptions!$B$5,Assumptions!$B$4)+G112*Assumptions!$B$5</f>
        <v>655.4135</v>
      </c>
      <c r="N112" s="16" t="n">
        <f aca="false">F112*INDEX(Assumptions!$B$8:$B$14,MATCH(E112,Assumptions!$A$8:$A$14,0))</f>
        <v>5.5833</v>
      </c>
      <c r="O112" s="16" t="n">
        <f aca="false">G112*INDEX(Assumptions!$B$8:$B$14,MATCH(E112,Assumptions!$A$8:$A$14,0))</f>
        <v>0.5</v>
      </c>
      <c r="P112" s="28" t="s">
        <v>314</v>
      </c>
      <c r="Q112" s="24" t="s">
        <v>440</v>
      </c>
      <c r="R112" s="2" t="s">
        <v>229</v>
      </c>
    </row>
    <row r="113" customFormat="false" ht="15" hidden="false" customHeight="false" outlineLevel="0" collapsed="false">
      <c r="A113" s="2" t="s">
        <v>441</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314</v>
      </c>
      <c r="Q113" s="24" t="s">
        <v>442</v>
      </c>
      <c r="R113" s="2" t="s">
        <v>229</v>
      </c>
    </row>
    <row r="114" customFormat="false" ht="15" hidden="false" customHeight="false" outlineLevel="0" collapsed="false">
      <c r="A114" s="2" t="s">
        <v>443</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314</v>
      </c>
      <c r="Q114" s="24" t="s">
        <v>444</v>
      </c>
      <c r="R114" s="2" t="s">
        <v>229</v>
      </c>
    </row>
    <row r="115" customFormat="false" ht="15" hidden="false" customHeight="false" outlineLevel="0" collapsed="false">
      <c r="A115" s="2" t="s">
        <v>445</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314</v>
      </c>
      <c r="Q115" s="24" t="s">
        <v>446</v>
      </c>
      <c r="R115" s="2" t="s">
        <v>229</v>
      </c>
    </row>
    <row r="116" customFormat="false" ht="15" hidden="false" customHeight="false" outlineLevel="0" collapsed="false">
      <c r="A116" s="2" t="s">
        <v>447</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448</v>
      </c>
      <c r="B117" s="10" t="s">
        <v>81</v>
      </c>
      <c r="C117" s="10" t="s">
        <v>231</v>
      </c>
      <c r="D117" s="10" t="s">
        <v>14</v>
      </c>
      <c r="E117" s="10" t="s">
        <v>15</v>
      </c>
      <c r="F117" s="15" t="n">
        <v>0.5</v>
      </c>
      <c r="G117" s="15" t="n">
        <v>0.6</v>
      </c>
      <c r="H117" s="21" t="n">
        <f aca="false">F117+G117</f>
        <v>1.1</v>
      </c>
      <c r="I117" s="2" t="n">
        <f aca="false">ROUND(H117*60,0)</f>
        <v>66</v>
      </c>
      <c r="J117" s="2" t="n">
        <f aca="false">ROUND(F117*60,0)</f>
        <v>30</v>
      </c>
      <c r="K117" s="2" t="n">
        <f aca="false">ROUND(G117*60,0)</f>
        <v>36</v>
      </c>
      <c r="L117" s="9" t="s">
        <v>87</v>
      </c>
      <c r="M117" s="22" t="n">
        <f aca="false">F117*IF(L117="CFO",Assumptions!$B$5,Assumptions!$B$4)+G117*Assumptions!$B$5</f>
        <v>197.5</v>
      </c>
      <c r="N117" s="16" t="n">
        <f aca="false">F117*INDEX(Assumptions!$B$8:$B$14,MATCH(E117,Assumptions!$A$8:$A$14,0))</f>
        <v>0.5</v>
      </c>
      <c r="O117" s="16" t="n">
        <f aca="false">G117*INDEX(Assumptions!$B$8:$B$14,MATCH(E117,Assumptions!$A$8:$A$14,0))</f>
        <v>0.6</v>
      </c>
      <c r="P117" s="26" t="s">
        <v>262</v>
      </c>
      <c r="Q117" s="24" t="s">
        <v>449</v>
      </c>
      <c r="R117" s="2" t="s">
        <v>229</v>
      </c>
    </row>
    <row r="118" customFormat="false" ht="15" hidden="false" customHeight="false" outlineLevel="0" collapsed="false">
      <c r="A118" s="2" t="s">
        <v>450</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451</v>
      </c>
      <c r="R118" s="2" t="s">
        <v>229</v>
      </c>
    </row>
    <row r="119" customFormat="false" ht="15" hidden="false" customHeight="false" outlineLevel="0" collapsed="false">
      <c r="A119" s="2" t="s">
        <v>452</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453</v>
      </c>
      <c r="R119" s="2" t="s">
        <v>229</v>
      </c>
    </row>
    <row r="120" customFormat="false" ht="15" hidden="false" customHeight="false" outlineLevel="0" collapsed="false">
      <c r="A120" s="2" t="s">
        <v>454</v>
      </c>
      <c r="B120" s="10" t="s">
        <v>82</v>
      </c>
      <c r="C120" s="10" t="s">
        <v>231</v>
      </c>
      <c r="D120" s="10" t="s">
        <v>14</v>
      </c>
      <c r="E120" s="10" t="s">
        <v>15</v>
      </c>
      <c r="F120" s="15" t="n">
        <v>5.5</v>
      </c>
      <c r="G120" s="15" t="n">
        <v>0.6</v>
      </c>
      <c r="H120" s="21" t="n">
        <f aca="false">F120+G120</f>
        <v>6.1</v>
      </c>
      <c r="I120" s="2" t="n">
        <f aca="false">ROUND(H120*60,0)</f>
        <v>366</v>
      </c>
      <c r="J120" s="2" t="n">
        <f aca="false">ROUND(F120*60,0)</f>
        <v>330</v>
      </c>
      <c r="K120" s="2" t="n">
        <f aca="false">ROUND(G120*60,0)</f>
        <v>36</v>
      </c>
      <c r="L120" s="9" t="s">
        <v>87</v>
      </c>
      <c r="M120" s="22" t="n">
        <f aca="false">F120*IF(L120="CFO",Assumptions!$B$5,Assumptions!$B$4)+G120*Assumptions!$B$5</f>
        <v>672.5</v>
      </c>
      <c r="N120" s="16" t="n">
        <f aca="false">F120*INDEX(Assumptions!$B$8:$B$14,MATCH(E120,Assumptions!$A$8:$A$14,0))</f>
        <v>5.5</v>
      </c>
      <c r="O120" s="16" t="n">
        <f aca="false">G120*INDEX(Assumptions!$B$8:$B$14,MATCH(E120,Assumptions!$A$8:$A$14,0))</f>
        <v>0.6</v>
      </c>
      <c r="P120" s="27" t="s">
        <v>265</v>
      </c>
      <c r="Q120" s="24" t="s">
        <v>455</v>
      </c>
      <c r="R120" s="2" t="s">
        <v>229</v>
      </c>
    </row>
    <row r="121" customFormat="false" ht="15" hidden="false" customHeight="false" outlineLevel="0" collapsed="false">
      <c r="A121" s="2" t="s">
        <v>456</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457</v>
      </c>
      <c r="R121" s="2" t="s">
        <v>229</v>
      </c>
    </row>
    <row r="122" customFormat="false" ht="15" hidden="false" customHeight="false" outlineLevel="0" collapsed="false">
      <c r="A122" s="2" t="s">
        <v>458</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459</v>
      </c>
      <c r="R122" s="2" t="s">
        <v>229</v>
      </c>
    </row>
    <row r="123" customFormat="false" ht="15" hidden="false" customHeight="false" outlineLevel="0" collapsed="false">
      <c r="A123" s="2" t="s">
        <v>460</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461</v>
      </c>
      <c r="R123" s="2" t="s">
        <v>229</v>
      </c>
    </row>
    <row r="124" customFormat="false" ht="15" hidden="false" customHeight="false" outlineLevel="0" collapsed="false">
      <c r="A124" s="2" t="s">
        <v>462</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463</v>
      </c>
      <c r="B125" s="10" t="s">
        <v>83</v>
      </c>
      <c r="C125" s="10" t="s">
        <v>237</v>
      </c>
      <c r="D125" s="10" t="s">
        <v>17</v>
      </c>
      <c r="E125" s="10" t="s">
        <v>13</v>
      </c>
      <c r="F125" s="15" t="n">
        <v>7.5833</v>
      </c>
      <c r="G125" s="15" t="n">
        <v>0.35</v>
      </c>
      <c r="H125" s="21" t="n">
        <f aca="false">F125+G125</f>
        <v>7.9333</v>
      </c>
      <c r="I125" s="2" t="n">
        <f aca="false">ROUND(H125*60,0)</f>
        <v>476</v>
      </c>
      <c r="J125" s="2" t="n">
        <f aca="false">ROUND(F125*60,0)</f>
        <v>455</v>
      </c>
      <c r="K125" s="2" t="n">
        <f aca="false">ROUND(G125*60,0)</f>
        <v>21</v>
      </c>
      <c r="L125" s="9" t="s">
        <v>87</v>
      </c>
      <c r="M125" s="22" t="n">
        <f aca="false">F125*IF(L125="CFO",Assumptions!$B$5,Assumptions!$B$4)+G125*Assumptions!$B$5</f>
        <v>807.9135</v>
      </c>
      <c r="N125" s="16" t="n">
        <f aca="false">F125*INDEX(Assumptions!$B$8:$B$14,MATCH(E125,Assumptions!$A$8:$A$14,0))</f>
        <v>2.52776666666667</v>
      </c>
      <c r="O125" s="16" t="n">
        <f aca="false">G125*INDEX(Assumptions!$B$8:$B$14,MATCH(E125,Assumptions!$A$8:$A$14,0))</f>
        <v>0.116666666666667</v>
      </c>
      <c r="P125" s="28" t="s">
        <v>314</v>
      </c>
      <c r="Q125" s="24" t="s">
        <v>464</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465</v>
      </c>
      <c r="C1" s="5" t="s">
        <v>211</v>
      </c>
      <c r="D1" s="5" t="s">
        <v>466</v>
      </c>
      <c r="E1" s="5" t="s">
        <v>467</v>
      </c>
      <c r="F1" s="5" t="s">
        <v>468</v>
      </c>
      <c r="G1" s="5" t="s">
        <v>5</v>
      </c>
      <c r="H1" s="5" t="s">
        <v>469</v>
      </c>
      <c r="I1" s="5" t="s">
        <v>470</v>
      </c>
      <c r="J1" s="5" t="s">
        <v>471</v>
      </c>
      <c r="K1" s="5" t="s">
        <v>472</v>
      </c>
      <c r="L1" s="5" t="s">
        <v>216</v>
      </c>
      <c r="M1" s="5" t="s">
        <v>220</v>
      </c>
      <c r="N1" s="5" t="s">
        <v>223</v>
      </c>
      <c r="O1" s="5" t="s">
        <v>198</v>
      </c>
      <c r="P1" s="5" t="s">
        <v>210</v>
      </c>
    </row>
    <row r="2" customFormat="false" ht="15" hidden="false" customHeight="false" outlineLevel="0" collapsed="false">
      <c r="A2" s="2" t="s">
        <v>11</v>
      </c>
      <c r="B2" s="2" t="s">
        <v>473</v>
      </c>
      <c r="C2" s="2" t="s">
        <v>231</v>
      </c>
      <c r="D2" s="31" t="n">
        <v>46295</v>
      </c>
      <c r="E2" s="2" t="s">
        <v>474</v>
      </c>
      <c r="F2" s="2" t="s">
        <v>475</v>
      </c>
      <c r="G2" s="2" t="s">
        <v>15</v>
      </c>
      <c r="H2" s="2" t="s">
        <v>476</v>
      </c>
      <c r="I2" s="16" t="n">
        <f aca="false">INDEX('Recurring Budgets'!$F$2:$F$125,MATCH(P2,'Recurring Budgets'!$A$2:$A$125,0))</f>
        <v>0.5</v>
      </c>
      <c r="J2" s="16" t="n">
        <f aca="false">INDEX('Recurring Budgets'!$G$2:$G$125,MATCH(P2,'Recurring Budgets'!$A$2:$A$125,0))</f>
        <v>0.7</v>
      </c>
      <c r="K2" s="21" t="n">
        <f aca="false">I2+J2</f>
        <v>1.2</v>
      </c>
      <c r="L2" s="2" t="n">
        <f aca="false">ROUND(K2*60,0)</f>
        <v>72</v>
      </c>
      <c r="M2" s="22" t="n">
        <f aca="false">INDEX('Recurring Budgets'!$M$2:$M$125,MATCH(P2,'Recurring Budgets'!$A$2:$A$125,0))</f>
        <v>222.5</v>
      </c>
      <c r="N2" s="8" t="str">
        <f aca="false">INDEX('Recurring Budgets'!$P$2:$P$125,MATCH(P2,'Recurring Budgets'!$A$2:$A$125,0))</f>
        <v>High</v>
      </c>
      <c r="O2" s="8" t="str">
        <f aca="false">INDEX('Recurring Budgets'!$Q$2:$Q$125,MATCH(P2,'Recurring Budgets'!$A$2:$A$125,0))</f>
        <v>Includes Month-end 0.7. Review = median of 7 closes reviewed in Harvest (0.70h).</v>
      </c>
      <c r="P2" s="2" t="s">
        <v>230</v>
      </c>
    </row>
    <row r="3" customFormat="false" ht="15" hidden="false" customHeight="false" outlineLevel="0" collapsed="false">
      <c r="A3" s="2" t="s">
        <v>11</v>
      </c>
      <c r="B3" s="2" t="s">
        <v>96</v>
      </c>
      <c r="C3" s="2" t="s">
        <v>161</v>
      </c>
      <c r="D3" s="31" t="n">
        <v>46325</v>
      </c>
      <c r="E3" s="2" t="s">
        <v>477</v>
      </c>
      <c r="F3" s="2" t="s">
        <v>478</v>
      </c>
      <c r="G3" s="2" t="s">
        <v>161</v>
      </c>
      <c r="H3" s="2" t="s">
        <v>479</v>
      </c>
      <c r="I3" s="16" t="n">
        <f aca="false">INDEX('1099 Oct 30'!$F$5:$F$45,MATCH(P3,'1099 Oct 30'!$A$5:$A$45,0))</f>
        <v>2.5</v>
      </c>
      <c r="J3" s="15" t="n">
        <v>0</v>
      </c>
      <c r="K3" s="21" t="n">
        <f aca="false">I3+J3</f>
        <v>2.5</v>
      </c>
      <c r="L3" s="2" t="n">
        <f aca="false">ROUND(K3*60,0)</f>
        <v>150</v>
      </c>
      <c r="M3" s="22" t="n">
        <f aca="false">I3*Assumptions!$B$4</f>
        <v>237.5</v>
      </c>
      <c r="N3" s="23" t="s">
        <v>227</v>
      </c>
      <c r="O3" s="2" t="s">
        <v>480</v>
      </c>
      <c r="P3" s="2" t="s">
        <v>11</v>
      </c>
    </row>
    <row r="4" customFormat="false" ht="15" hidden="false" customHeight="false" outlineLevel="0" collapsed="false">
      <c r="A4" s="2" t="s">
        <v>11</v>
      </c>
      <c r="B4" s="2" t="s">
        <v>481</v>
      </c>
      <c r="C4" s="2" t="s">
        <v>231</v>
      </c>
      <c r="D4" s="31" t="n">
        <v>46325</v>
      </c>
      <c r="E4" s="2" t="s">
        <v>482</v>
      </c>
      <c r="F4" s="2" t="s">
        <v>478</v>
      </c>
      <c r="G4" s="2" t="s">
        <v>15</v>
      </c>
      <c r="H4" s="2" t="s">
        <v>476</v>
      </c>
      <c r="I4" s="16" t="n">
        <f aca="false">INDEX('Recurring Budgets'!$F$2:$F$125,MATCH(P4,'Recurring Budgets'!$A$2:$A$125,0))</f>
        <v>0.5</v>
      </c>
      <c r="J4" s="16" t="n">
        <f aca="false">INDEX('Recurring Budgets'!$G$2:$G$125,MATCH(P4,'Recurring Budgets'!$A$2:$A$125,0))</f>
        <v>0.7</v>
      </c>
      <c r="K4" s="21" t="n">
        <f aca="false">I4+J4</f>
        <v>1.2</v>
      </c>
      <c r="L4" s="2" t="n">
        <f aca="false">ROUND(K4*60,0)</f>
        <v>72</v>
      </c>
      <c r="M4" s="22" t="n">
        <f aca="false">INDEX('Recurring Budgets'!$M$2:$M$125,MATCH(P4,'Recurring Budgets'!$A$2:$A$125,0))</f>
        <v>222.5</v>
      </c>
      <c r="N4" s="8" t="str">
        <f aca="false">INDEX('Recurring Budgets'!$P$2:$P$125,MATCH(P4,'Recurring Budgets'!$A$2:$A$125,0))</f>
        <v>High</v>
      </c>
      <c r="O4" s="8" t="str">
        <f aca="false">INDEX('Recurring Budgets'!$Q$2:$Q$125,MATCH(P4,'Recurring Budgets'!$A$2:$A$125,0))</f>
        <v>Includes Month-end 0.7. Review = median of 7 closes reviewed in Harvest (0.70h).</v>
      </c>
      <c r="P4" s="2" t="s">
        <v>230</v>
      </c>
    </row>
    <row r="5" customFormat="false" ht="15" hidden="false" customHeight="false" outlineLevel="0" collapsed="false">
      <c r="A5" s="2" t="s">
        <v>16</v>
      </c>
      <c r="B5" s="2" t="s">
        <v>483</v>
      </c>
      <c r="C5" s="2" t="s">
        <v>237</v>
      </c>
      <c r="D5" s="31" t="n">
        <v>46303</v>
      </c>
      <c r="E5" s="2" t="s">
        <v>482</v>
      </c>
      <c r="F5" s="2" t="s">
        <v>484</v>
      </c>
      <c r="G5" s="2" t="s">
        <v>13</v>
      </c>
      <c r="H5" s="2" t="s">
        <v>476</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 Review = 1.25h as logged (only 2 reviewed close(s) in Harvest – check).</v>
      </c>
      <c r="P5" s="2" t="s">
        <v>236</v>
      </c>
    </row>
    <row r="6" customFormat="false" ht="15" hidden="false" customHeight="false" outlineLevel="0" collapsed="false">
      <c r="A6" s="2" t="s">
        <v>16</v>
      </c>
      <c r="B6" s="2" t="s">
        <v>485</v>
      </c>
      <c r="C6" s="2" t="s">
        <v>240</v>
      </c>
      <c r="D6" s="31" t="n">
        <v>46314</v>
      </c>
      <c r="E6" s="2" t="s">
        <v>482</v>
      </c>
      <c r="F6" s="2" t="s">
        <v>478</v>
      </c>
      <c r="G6" s="2" t="s">
        <v>13</v>
      </c>
      <c r="H6" s="2" t="s">
        <v>476</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477</v>
      </c>
      <c r="F7" s="2" t="s">
        <v>478</v>
      </c>
      <c r="G7" s="2" t="s">
        <v>161</v>
      </c>
      <c r="H7" s="2" t="s">
        <v>479</v>
      </c>
      <c r="I7" s="16" t="n">
        <f aca="false">INDEX('1099 Oct 30'!$F$5:$F$45,MATCH(P7,'1099 Oct 30'!$A$5:$A$45,0))</f>
        <v>2.5</v>
      </c>
      <c r="J7" s="15" t="n">
        <v>0</v>
      </c>
      <c r="K7" s="21" t="n">
        <f aca="false">I7+J7</f>
        <v>2.5</v>
      </c>
      <c r="L7" s="2" t="n">
        <f aca="false">ROUND(K7*60,0)</f>
        <v>150</v>
      </c>
      <c r="M7" s="22" t="n">
        <f aca="false">I7*Assumptions!$B$4</f>
        <v>237.5</v>
      </c>
      <c r="N7" s="23" t="s">
        <v>227</v>
      </c>
      <c r="O7" s="2" t="s">
        <v>480</v>
      </c>
      <c r="P7" s="2" t="s">
        <v>16</v>
      </c>
    </row>
    <row r="8" customFormat="false" ht="15" hidden="false" customHeight="false" outlineLevel="0" collapsed="false">
      <c r="A8" s="2" t="s">
        <v>19</v>
      </c>
      <c r="B8" s="2" t="s">
        <v>486</v>
      </c>
      <c r="C8" s="2" t="s">
        <v>243</v>
      </c>
      <c r="D8" s="31" t="n">
        <v>46265</v>
      </c>
      <c r="E8" s="2" t="s">
        <v>487</v>
      </c>
      <c r="F8" s="2" t="s">
        <v>484</v>
      </c>
      <c r="G8" s="2" t="s">
        <v>21</v>
      </c>
      <c r="H8" s="2" t="s">
        <v>476</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473</v>
      </c>
      <c r="C9" s="2" t="s">
        <v>231</v>
      </c>
      <c r="D9" s="31" t="n">
        <v>46295</v>
      </c>
      <c r="E9" s="2" t="s">
        <v>474</v>
      </c>
      <c r="F9" s="2" t="s">
        <v>475</v>
      </c>
      <c r="G9" s="2" t="s">
        <v>15</v>
      </c>
      <c r="H9" s="2" t="s">
        <v>476</v>
      </c>
      <c r="I9" s="16" t="n">
        <f aca="false">INDEX('Recurring Budgets'!$F$2:$F$125,MATCH(P9,'Recurring Budgets'!$A$2:$A$125,0))</f>
        <v>2.25</v>
      </c>
      <c r="J9" s="16" t="n">
        <f aca="false">INDEX('Recurring Budgets'!$G$2:$G$125,MATCH(P9,'Recurring Budgets'!$A$2:$A$125,0))</f>
        <v>0.7</v>
      </c>
      <c r="K9" s="21" t="n">
        <f aca="false">I9+J9</f>
        <v>2.95</v>
      </c>
      <c r="L9" s="2" t="n">
        <f aca="false">ROUND(K9*60,0)</f>
        <v>177</v>
      </c>
      <c r="M9" s="22" t="n">
        <f aca="false">INDEX('Recurring Budgets'!$M$2:$M$125,MATCH(P9,'Recurring Budgets'!$A$2:$A$125,0))</f>
        <v>388.75</v>
      </c>
      <c r="N9" s="8" t="str">
        <f aca="false">INDEX('Recurring Budgets'!$P$2:$P$125,MATCH(P9,'Recurring Budgets'!$A$2:$A$125,0))</f>
        <v>High</v>
      </c>
      <c r="O9" s="8" t="str">
        <f aca="false">INDEX('Recurring Budgets'!$Q$2:$Q$125,MATCH(P9,'Recurring Budgets'!$A$2:$A$125,0))</f>
        <v>Includes Month-end 2.4. Review = median of 7 closes reviewed in Harvest (0.70h).</v>
      </c>
      <c r="P9" s="2" t="s">
        <v>248</v>
      </c>
    </row>
    <row r="10" customFormat="false" ht="15" hidden="false" customHeight="false" outlineLevel="0" collapsed="false">
      <c r="A10" s="2" t="s">
        <v>22</v>
      </c>
      <c r="B10" s="2" t="s">
        <v>96</v>
      </c>
      <c r="C10" s="2" t="s">
        <v>161</v>
      </c>
      <c r="D10" s="31" t="n">
        <v>46325</v>
      </c>
      <c r="E10" s="2" t="s">
        <v>477</v>
      </c>
      <c r="F10" s="2" t="s">
        <v>478</v>
      </c>
      <c r="G10" s="2" t="s">
        <v>161</v>
      </c>
      <c r="H10" s="2" t="s">
        <v>479</v>
      </c>
      <c r="I10" s="16" t="n">
        <f aca="false">INDEX('1099 Oct 30'!$F$5:$F$45,MATCH(P10,'1099 Oct 30'!$A$5:$A$45,0))</f>
        <v>2.5</v>
      </c>
      <c r="J10" s="15" t="n">
        <v>0</v>
      </c>
      <c r="K10" s="21" t="n">
        <f aca="false">I10+J10</f>
        <v>2.5</v>
      </c>
      <c r="L10" s="2" t="n">
        <f aca="false">ROUND(K10*60,0)</f>
        <v>150</v>
      </c>
      <c r="M10" s="22" t="n">
        <f aca="false">I10*Assumptions!$B$4</f>
        <v>237.5</v>
      </c>
      <c r="N10" s="23" t="s">
        <v>227</v>
      </c>
      <c r="O10" s="2" t="s">
        <v>480</v>
      </c>
      <c r="P10" s="2" t="s">
        <v>22</v>
      </c>
    </row>
    <row r="11" customFormat="false" ht="15" hidden="false" customHeight="false" outlineLevel="0" collapsed="false">
      <c r="A11" s="2" t="s">
        <v>22</v>
      </c>
      <c r="B11" s="2" t="s">
        <v>481</v>
      </c>
      <c r="C11" s="2" t="s">
        <v>231</v>
      </c>
      <c r="D11" s="31" t="n">
        <v>46325</v>
      </c>
      <c r="E11" s="2" t="s">
        <v>482</v>
      </c>
      <c r="F11" s="2" t="s">
        <v>478</v>
      </c>
      <c r="G11" s="2" t="s">
        <v>15</v>
      </c>
      <c r="H11" s="2" t="s">
        <v>476</v>
      </c>
      <c r="I11" s="16" t="n">
        <f aca="false">INDEX('Recurring Budgets'!$F$2:$F$125,MATCH(P11,'Recurring Budgets'!$A$2:$A$125,0))</f>
        <v>2.25</v>
      </c>
      <c r="J11" s="16" t="n">
        <f aca="false">INDEX('Recurring Budgets'!$G$2:$G$125,MATCH(P11,'Recurring Budgets'!$A$2:$A$125,0))</f>
        <v>0.7</v>
      </c>
      <c r="K11" s="21" t="n">
        <f aca="false">I11+J11</f>
        <v>2.95</v>
      </c>
      <c r="L11" s="2" t="n">
        <f aca="false">ROUND(K11*60,0)</f>
        <v>177</v>
      </c>
      <c r="M11" s="22" t="n">
        <f aca="false">INDEX('Recurring Budgets'!$M$2:$M$125,MATCH(P11,'Recurring Budgets'!$A$2:$A$125,0))</f>
        <v>388.75</v>
      </c>
      <c r="N11" s="8" t="str">
        <f aca="false">INDEX('Recurring Budgets'!$P$2:$P$125,MATCH(P11,'Recurring Budgets'!$A$2:$A$125,0))</f>
        <v>High</v>
      </c>
      <c r="O11" s="8" t="str">
        <f aca="false">INDEX('Recurring Budgets'!$Q$2:$Q$125,MATCH(P11,'Recurring Budgets'!$A$2:$A$125,0))</f>
        <v>Includes Month-end 2.4. Review = median of 7 closes reviewed in Harvest (0.70h).</v>
      </c>
      <c r="P11" s="2" t="s">
        <v>248</v>
      </c>
    </row>
    <row r="12" customFormat="false" ht="15" hidden="false" customHeight="false" outlineLevel="0" collapsed="false">
      <c r="A12" s="2" t="s">
        <v>23</v>
      </c>
      <c r="B12" s="2" t="s">
        <v>473</v>
      </c>
      <c r="C12" s="2" t="s">
        <v>231</v>
      </c>
      <c r="D12" s="31" t="n">
        <v>46295</v>
      </c>
      <c r="E12" s="2" t="s">
        <v>482</v>
      </c>
      <c r="F12" s="2" t="s">
        <v>475</v>
      </c>
      <c r="G12" s="2" t="s">
        <v>15</v>
      </c>
      <c r="H12" s="2" t="s">
        <v>476</v>
      </c>
      <c r="I12" s="16" t="n">
        <f aca="false">INDEX('Recurring Budgets'!$F$2:$F$125,MATCH(P12,'Recurring Budgets'!$A$2:$A$125,0))</f>
        <v>0.8333</v>
      </c>
      <c r="J12" s="16" t="n">
        <f aca="false">INDEX('Recurring Budgets'!$G$2:$G$125,MATCH(P12,'Recurring Budgets'!$A$2:$A$125,0))</f>
        <v>0.7</v>
      </c>
      <c r="K12" s="21" t="n">
        <f aca="false">I12+J12</f>
        <v>1.5333</v>
      </c>
      <c r="L12" s="2" t="n">
        <f aca="false">ROUND(K12*60,0)</f>
        <v>92</v>
      </c>
      <c r="M12" s="22" t="n">
        <f aca="false">INDEX('Recurring Budgets'!$M$2:$M$125,MATCH(P12,'Recurring Budgets'!$A$2:$A$125,0))</f>
        <v>254.1635</v>
      </c>
      <c r="N12" s="8" t="str">
        <f aca="false">INDEX('Recurring Budgets'!$P$2:$P$125,MATCH(P12,'Recurring Budgets'!$A$2:$A$125,0))</f>
        <v>High</v>
      </c>
      <c r="O12" s="8" t="str">
        <f aca="false">INDEX('Recurring Budgets'!$Q$2:$Q$125,MATCH(P12,'Recurring Budgets'!$A$2:$A$125,0))</f>
        <v>Includes Month-end 0.8. Review = median of 7 closes reviewed in Harvest (0.70h).</v>
      </c>
      <c r="P12" s="2" t="s">
        <v>252</v>
      </c>
    </row>
    <row r="13" customFormat="false" ht="15" hidden="false" customHeight="false" outlineLevel="0" collapsed="false">
      <c r="A13" s="2" t="s">
        <v>23</v>
      </c>
      <c r="B13" s="2" t="s">
        <v>96</v>
      </c>
      <c r="C13" s="2" t="s">
        <v>161</v>
      </c>
      <c r="D13" s="31" t="n">
        <v>46325</v>
      </c>
      <c r="E13" s="2" t="s">
        <v>477</v>
      </c>
      <c r="F13" s="2" t="s">
        <v>478</v>
      </c>
      <c r="G13" s="2" t="s">
        <v>161</v>
      </c>
      <c r="H13" s="2" t="s">
        <v>479</v>
      </c>
      <c r="I13" s="16" t="n">
        <f aca="false">INDEX('1099 Oct 30'!$F$5:$F$45,MATCH(P13,'1099 Oct 30'!$A$5:$A$45,0))</f>
        <v>2.5</v>
      </c>
      <c r="J13" s="15" t="n">
        <v>0</v>
      </c>
      <c r="K13" s="21" t="n">
        <f aca="false">I13+J13</f>
        <v>2.5</v>
      </c>
      <c r="L13" s="2" t="n">
        <f aca="false">ROUND(K13*60,0)</f>
        <v>150</v>
      </c>
      <c r="M13" s="22" t="n">
        <f aca="false">I13*Assumptions!$B$4</f>
        <v>237.5</v>
      </c>
      <c r="N13" s="23" t="s">
        <v>227</v>
      </c>
      <c r="O13" s="2" t="s">
        <v>480</v>
      </c>
      <c r="P13" s="2" t="s">
        <v>23</v>
      </c>
    </row>
    <row r="14" customFormat="false" ht="15" hidden="false" customHeight="false" outlineLevel="0" collapsed="false">
      <c r="A14" s="2" t="s">
        <v>24</v>
      </c>
      <c r="B14" s="2" t="s">
        <v>473</v>
      </c>
      <c r="C14" s="2" t="s">
        <v>231</v>
      </c>
      <c r="D14" s="31" t="n">
        <v>46295</v>
      </c>
      <c r="E14" s="2" t="s">
        <v>482</v>
      </c>
      <c r="F14" s="2" t="s">
        <v>475</v>
      </c>
      <c r="G14" s="2" t="s">
        <v>15</v>
      </c>
      <c r="H14" s="2" t="s">
        <v>476</v>
      </c>
      <c r="I14" s="16" t="n">
        <f aca="false">INDEX('Recurring Budgets'!$F$2:$F$125,MATCH(P14,'Recurring Budgets'!$A$2:$A$125,0))</f>
        <v>1.1667</v>
      </c>
      <c r="J14" s="16" t="n">
        <f aca="false">INDEX('Recurring Budgets'!$G$2:$G$125,MATCH(P14,'Recurring Budgets'!$A$2:$A$125,0))</f>
        <v>0.7</v>
      </c>
      <c r="K14" s="21" t="n">
        <f aca="false">I14+J14</f>
        <v>1.8667</v>
      </c>
      <c r="L14" s="2" t="n">
        <f aca="false">ROUND(K14*60,0)</f>
        <v>112</v>
      </c>
      <c r="M14" s="22" t="n">
        <f aca="false">INDEX('Recurring Budgets'!$M$2:$M$125,MATCH(P14,'Recurring Budgets'!$A$2:$A$125,0))</f>
        <v>285.8365</v>
      </c>
      <c r="N14" s="8" t="str">
        <f aca="false">INDEX('Recurring Budgets'!$P$2:$P$125,MATCH(P14,'Recurring Budgets'!$A$2:$A$125,0))</f>
        <v>High</v>
      </c>
      <c r="O14" s="8" t="str">
        <f aca="false">INDEX('Recurring Budgets'!$Q$2:$Q$125,MATCH(P14,'Recurring Budgets'!$A$2:$A$125,0))</f>
        <v>Includes Month-end 1.3. Review = median of 7 closes reviewed in Harvest (0.70h).</v>
      </c>
      <c r="P14" s="2" t="s">
        <v>256</v>
      </c>
    </row>
    <row r="15" customFormat="false" ht="15" hidden="false" customHeight="false" outlineLevel="0" collapsed="false">
      <c r="A15" s="2" t="s">
        <v>24</v>
      </c>
      <c r="B15" s="2" t="s">
        <v>96</v>
      </c>
      <c r="C15" s="2" t="s">
        <v>161</v>
      </c>
      <c r="D15" s="31" t="n">
        <v>46325</v>
      </c>
      <c r="E15" s="2" t="s">
        <v>477</v>
      </c>
      <c r="F15" s="2" t="s">
        <v>478</v>
      </c>
      <c r="G15" s="2" t="s">
        <v>161</v>
      </c>
      <c r="H15" s="2" t="s">
        <v>479</v>
      </c>
      <c r="I15" s="16" t="n">
        <f aca="false">INDEX('1099 Oct 30'!$F$5:$F$45,MATCH(P15,'1099 Oct 30'!$A$5:$A$45,0))</f>
        <v>1.5</v>
      </c>
      <c r="J15" s="15" t="n">
        <v>0</v>
      </c>
      <c r="K15" s="21" t="n">
        <f aca="false">I15+J15</f>
        <v>1.5</v>
      </c>
      <c r="L15" s="2" t="n">
        <f aca="false">ROUND(K15*60,0)</f>
        <v>90</v>
      </c>
      <c r="M15" s="22" t="n">
        <f aca="false">I15*Assumptions!$B$4</f>
        <v>142.5</v>
      </c>
      <c r="N15" s="23" t="s">
        <v>227</v>
      </c>
      <c r="O15" s="2" t="s">
        <v>480</v>
      </c>
      <c r="P15" s="2" t="s">
        <v>24</v>
      </c>
    </row>
    <row r="16" customFormat="false" ht="15" hidden="false" customHeight="false" outlineLevel="0" collapsed="false">
      <c r="A16" s="2" t="s">
        <v>25</v>
      </c>
      <c r="B16" s="2" t="s">
        <v>481</v>
      </c>
      <c r="C16" s="2" t="s">
        <v>231</v>
      </c>
      <c r="D16" s="31" t="n">
        <v>46301</v>
      </c>
      <c r="E16" s="2" t="s">
        <v>488</v>
      </c>
      <c r="F16" s="2" t="s">
        <v>484</v>
      </c>
      <c r="G16" s="2" t="s">
        <v>15</v>
      </c>
      <c r="H16" s="2" t="s">
        <v>476</v>
      </c>
      <c r="I16" s="16" t="n">
        <f aca="false">INDEX('Recurring Budgets'!$F$2:$F$125,MATCH(P16,'Recurring Budgets'!$A$2:$A$125,0))</f>
        <v>0.75</v>
      </c>
      <c r="J16" s="16" t="n">
        <f aca="false">INDEX('Recurring Budgets'!$G$2:$G$125,MATCH(P16,'Recurring Budgets'!$A$2:$A$125,0))</f>
        <v>0.3833</v>
      </c>
      <c r="K16" s="21" t="n">
        <f aca="false">I16+J16</f>
        <v>1.1333</v>
      </c>
      <c r="L16" s="2" t="n">
        <f aca="false">ROUND(K16*60,0)</f>
        <v>68</v>
      </c>
      <c r="M16" s="22" t="n">
        <f aca="false">INDEX('Recurring Budgets'!$M$2:$M$125,MATCH(P16,'Recurring Budgets'!$A$2:$A$125,0))</f>
        <v>167.075</v>
      </c>
      <c r="N16" s="8" t="str">
        <f aca="false">INDEX('Recurring Budgets'!$P$2:$P$125,MATCH(P16,'Recurring Budgets'!$A$2:$A$125,0))</f>
        <v>Medium</v>
      </c>
      <c r="O16" s="8" t="str">
        <f aca="false">INDEX('Recurring Budgets'!$Q$2:$Q$125,MATCH(P16,'Recurring Budgets'!$A$2:$A$125,0))</f>
        <v>Josephine's Apr–May 2026 closes + allowance for a new person (Valentina's hours not used). Review = median of 8 closes reviewed in Harvest (0.38h).</v>
      </c>
      <c r="P16" s="2" t="s">
        <v>261</v>
      </c>
    </row>
    <row r="17" customFormat="false" ht="15" hidden="false" customHeight="false" outlineLevel="0" collapsed="false">
      <c r="A17" s="2" t="s">
        <v>25</v>
      </c>
      <c r="B17" s="2" t="s">
        <v>96</v>
      </c>
      <c r="C17" s="2" t="s">
        <v>161</v>
      </c>
      <c r="D17" s="31" t="n">
        <v>46325</v>
      </c>
      <c r="E17" s="2" t="s">
        <v>477</v>
      </c>
      <c r="F17" s="2" t="s">
        <v>478</v>
      </c>
      <c r="G17" s="2" t="s">
        <v>161</v>
      </c>
      <c r="H17" s="2" t="s">
        <v>479</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480</v>
      </c>
      <c r="P17" s="2" t="s">
        <v>25</v>
      </c>
    </row>
    <row r="18" customFormat="false" ht="15" hidden="false" customHeight="false" outlineLevel="0" collapsed="false">
      <c r="A18" s="2" t="s">
        <v>26</v>
      </c>
      <c r="B18" s="2" t="s">
        <v>481</v>
      </c>
      <c r="C18" s="2" t="s">
        <v>231</v>
      </c>
      <c r="D18" s="31" t="n">
        <v>46301</v>
      </c>
      <c r="E18" s="2" t="s">
        <v>488</v>
      </c>
      <c r="F18" s="2" t="s">
        <v>484</v>
      </c>
      <c r="G18" s="2" t="s">
        <v>15</v>
      </c>
      <c r="H18" s="2" t="s">
        <v>476</v>
      </c>
      <c r="I18" s="16" t="n">
        <f aca="false">INDEX('Recurring Budgets'!$F$2:$F$125,MATCH(P18,'Recurring Budgets'!$A$2:$A$125,0))</f>
        <v>1.25</v>
      </c>
      <c r="J18" s="16" t="n">
        <f aca="false">INDEX('Recurring Budgets'!$G$2:$G$125,MATCH(P18,'Recurring Budgets'!$A$2:$A$125,0))</f>
        <v>0.4833</v>
      </c>
      <c r="K18" s="21" t="n">
        <f aca="false">I18+J18</f>
        <v>1.7333</v>
      </c>
      <c r="L18" s="2" t="n">
        <f aca="false">ROUND(K18*60,0)</f>
        <v>104</v>
      </c>
      <c r="M18" s="22" t="n">
        <f aca="false">INDEX('Recurring Budgets'!$M$2:$M$125,MATCH(P18,'Recurring Budgets'!$A$2:$A$125,0))</f>
        <v>239.575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267</v>
      </c>
    </row>
    <row r="19" customFormat="false" ht="15" hidden="false" customHeight="false" outlineLevel="0" collapsed="false">
      <c r="A19" s="2" t="s">
        <v>26</v>
      </c>
      <c r="B19" s="2" t="s">
        <v>96</v>
      </c>
      <c r="C19" s="2" t="s">
        <v>161</v>
      </c>
      <c r="D19" s="31" t="n">
        <v>46325</v>
      </c>
      <c r="E19" s="2" t="s">
        <v>477</v>
      </c>
      <c r="F19" s="2" t="s">
        <v>478</v>
      </c>
      <c r="G19" s="2" t="s">
        <v>161</v>
      </c>
      <c r="H19" s="2" t="s">
        <v>479</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480</v>
      </c>
      <c r="P19" s="2" t="s">
        <v>26</v>
      </c>
    </row>
    <row r="20" customFormat="false" ht="15" hidden="false" customHeight="false" outlineLevel="0" collapsed="false">
      <c r="A20" s="2" t="s">
        <v>27</v>
      </c>
      <c r="B20" s="2" t="s">
        <v>473</v>
      </c>
      <c r="C20" s="2" t="s">
        <v>231</v>
      </c>
      <c r="D20" s="31" t="n">
        <v>46275</v>
      </c>
      <c r="E20" s="2" t="s">
        <v>487</v>
      </c>
      <c r="F20" s="2" t="s">
        <v>484</v>
      </c>
      <c r="G20" s="2" t="s">
        <v>15</v>
      </c>
      <c r="H20" s="2" t="s">
        <v>476</v>
      </c>
      <c r="I20" s="16" t="n">
        <f aca="false">INDEX('Recurring Budgets'!$F$2:$F$125,MATCH(P20,'Recurring Budgets'!$A$2:$A$125,0))</f>
        <v>16.1667</v>
      </c>
      <c r="J20" s="16" t="n">
        <f aca="false">INDEX('Recurring Budgets'!$G$2:$G$125,MATCH(P20,'Recurring Budgets'!$A$2:$A$125,0))</f>
        <v>1</v>
      </c>
      <c r="K20" s="21" t="n">
        <f aca="false">I20+J20</f>
        <v>17.1667</v>
      </c>
      <c r="L20" s="2" t="n">
        <f aca="false">ROUND(K20*60,0)</f>
        <v>1030</v>
      </c>
      <c r="M20" s="22" t="n">
        <f aca="false">INDEX('Recurring Budgets'!$M$2:$M$125,MATCH(P20,'Recurring Budgets'!$A$2:$A$125,0))</f>
        <v>1785.8365</v>
      </c>
      <c r="N20" s="8" t="str">
        <f aca="false">INDEX('Recurring Budgets'!$P$2:$P$125,MATCH(P20,'Recurring Budgets'!$A$2:$A$125,0))</f>
        <v>High</v>
      </c>
      <c r="O20" s="8" t="str">
        <f aca="false">INDEX('Recurring Budgets'!$Q$2:$Q$125,MATCH(P20,'Recurring Budgets'!$A$2:$A$125,0))</f>
        <v>Includes Month-end 5.0, Payroll 11.7, CFO advisory 0.2. Review = median of 4 closes reviewed in Harvest (1.00h).</v>
      </c>
      <c r="P20" s="2" t="s">
        <v>273</v>
      </c>
    </row>
    <row r="21" customFormat="false" ht="15" hidden="false" customHeight="false" outlineLevel="0" collapsed="false">
      <c r="A21" s="2" t="s">
        <v>27</v>
      </c>
      <c r="B21" s="2" t="s">
        <v>489</v>
      </c>
      <c r="C21" s="2" t="s">
        <v>276</v>
      </c>
      <c r="D21" s="31" t="n">
        <v>46297</v>
      </c>
      <c r="E21" s="2" t="s">
        <v>482</v>
      </c>
      <c r="F21" s="2" t="s">
        <v>478</v>
      </c>
      <c r="G21" s="2" t="s">
        <v>30</v>
      </c>
      <c r="H21" s="2" t="s">
        <v>476</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481</v>
      </c>
      <c r="C22" s="2" t="s">
        <v>231</v>
      </c>
      <c r="D22" s="31" t="n">
        <v>46304</v>
      </c>
      <c r="E22" s="2" t="s">
        <v>488</v>
      </c>
      <c r="F22" s="2" t="s">
        <v>484</v>
      </c>
      <c r="G22" s="2" t="s">
        <v>15</v>
      </c>
      <c r="H22" s="2" t="s">
        <v>476</v>
      </c>
      <c r="I22" s="16" t="n">
        <f aca="false">INDEX('Recurring Budgets'!$F$2:$F$125,MATCH(P22,'Recurring Budgets'!$A$2:$A$125,0))</f>
        <v>16.1667</v>
      </c>
      <c r="J22" s="16" t="n">
        <f aca="false">INDEX('Recurring Budgets'!$G$2:$G$125,MATCH(P22,'Recurring Budgets'!$A$2:$A$125,0))</f>
        <v>1</v>
      </c>
      <c r="K22" s="21" t="n">
        <f aca="false">I22+J22</f>
        <v>17.1667</v>
      </c>
      <c r="L22" s="2" t="n">
        <f aca="false">ROUND(K22*60,0)</f>
        <v>1030</v>
      </c>
      <c r="M22" s="22" t="n">
        <f aca="false">INDEX('Recurring Budgets'!$M$2:$M$125,MATCH(P22,'Recurring Budgets'!$A$2:$A$125,0))</f>
        <v>1785.8365</v>
      </c>
      <c r="N22" s="8" t="str">
        <f aca="false">INDEX('Recurring Budgets'!$P$2:$P$125,MATCH(P22,'Recurring Budgets'!$A$2:$A$125,0))</f>
        <v>High</v>
      </c>
      <c r="O22" s="8" t="str">
        <f aca="false">INDEX('Recurring Budgets'!$Q$2:$Q$125,MATCH(P22,'Recurring Budgets'!$A$2:$A$125,0))</f>
        <v>Includes Month-end 5.0, Payroll 11.7, CFO advisory 0.2. Review = median of 4 closes reviewed in Harvest (1.00h).</v>
      </c>
      <c r="P22" s="2" t="s">
        <v>273</v>
      </c>
    </row>
    <row r="23" customFormat="false" ht="15" hidden="false" customHeight="false" outlineLevel="0" collapsed="false">
      <c r="A23" s="2" t="s">
        <v>27</v>
      </c>
      <c r="B23" s="2" t="s">
        <v>96</v>
      </c>
      <c r="C23" s="2" t="s">
        <v>161</v>
      </c>
      <c r="D23" s="31" t="n">
        <v>46325</v>
      </c>
      <c r="E23" s="2" t="s">
        <v>477</v>
      </c>
      <c r="F23" s="2" t="s">
        <v>478</v>
      </c>
      <c r="G23" s="2" t="s">
        <v>161</v>
      </c>
      <c r="H23" s="2" t="s">
        <v>479</v>
      </c>
      <c r="I23" s="16" t="n">
        <f aca="false">INDEX('1099 Oct 30'!$F$5:$F$45,MATCH(P23,'1099 Oct 30'!$A$5:$A$45,0))</f>
        <v>0.75</v>
      </c>
      <c r="J23" s="15" t="n">
        <v>0</v>
      </c>
      <c r="K23" s="21" t="n">
        <f aca="false">I23+J23</f>
        <v>0.75</v>
      </c>
      <c r="L23" s="2" t="n">
        <f aca="false">ROUND(K23*60,0)</f>
        <v>45</v>
      </c>
      <c r="M23" s="22" t="n">
        <f aca="false">I23*Assumptions!$B$4</f>
        <v>71.25</v>
      </c>
      <c r="N23" s="23" t="s">
        <v>227</v>
      </c>
      <c r="O23" s="2" t="s">
        <v>480</v>
      </c>
      <c r="P23" s="2" t="s">
        <v>27</v>
      </c>
    </row>
    <row r="24" customFormat="false" ht="15" hidden="false" customHeight="false" outlineLevel="0" collapsed="false">
      <c r="A24" s="2" t="s">
        <v>27</v>
      </c>
      <c r="B24" s="2" t="s">
        <v>490</v>
      </c>
      <c r="C24" s="2" t="s">
        <v>271</v>
      </c>
      <c r="D24" s="31" t="n">
        <v>46325</v>
      </c>
      <c r="E24" s="2" t="s">
        <v>482</v>
      </c>
      <c r="F24" s="2" t="s">
        <v>475</v>
      </c>
      <c r="G24" s="2" t="s">
        <v>21</v>
      </c>
      <c r="H24" s="2" t="s">
        <v>476</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473</v>
      </c>
      <c r="C25" s="2" t="s">
        <v>231</v>
      </c>
      <c r="D25" s="31" t="n">
        <v>46281</v>
      </c>
      <c r="E25" s="2" t="s">
        <v>482</v>
      </c>
      <c r="F25" s="2" t="s">
        <v>475</v>
      </c>
      <c r="G25" s="2" t="s">
        <v>15</v>
      </c>
      <c r="H25" s="2" t="s">
        <v>476</v>
      </c>
      <c r="I25" s="16" t="n">
        <f aca="false">INDEX('Recurring Budgets'!$F$2:$F$125,MATCH(P25,'Recurring Budgets'!$A$2:$A$125,0))</f>
        <v>0.75</v>
      </c>
      <c r="J25" s="16" t="n">
        <f aca="false">INDEX('Recurring Budgets'!$G$2:$G$125,MATCH(P25,'Recurring Budgets'!$A$2:$A$125,0))</f>
        <v>0.5</v>
      </c>
      <c r="K25" s="21" t="n">
        <f aca="false">I25+J25</f>
        <v>1.25</v>
      </c>
      <c r="L25" s="2" t="n">
        <f aca="false">ROUND(K25*60,0)</f>
        <v>75</v>
      </c>
      <c r="M25" s="22" t="n">
        <f aca="false">INDEX('Recurring Budgets'!$M$2:$M$125,MATCH(P25,'Recurring Budgets'!$A$2:$A$125,0))</f>
        <v>196.25</v>
      </c>
      <c r="N25" s="8" t="str">
        <f aca="false">INDEX('Recurring Budgets'!$P$2:$P$125,MATCH(P25,'Recurring Budgets'!$A$2:$A$125,0))</f>
        <v>High</v>
      </c>
      <c r="O25" s="8" t="str">
        <f aca="false">INDEX('Recurring Budgets'!$Q$2:$Q$125,MATCH(P25,'Recurring Budgets'!$A$2:$A$125,0))</f>
        <v>Includes Month-end 0.7, Payroll 0.4. Review = median of 4 closes reviewed in Harvest (0.50h).</v>
      </c>
      <c r="P25" s="2" t="s">
        <v>280</v>
      </c>
    </row>
    <row r="26" customFormat="false" ht="15" hidden="false" customHeight="false" outlineLevel="0" collapsed="false">
      <c r="A26" s="2" t="s">
        <v>31</v>
      </c>
      <c r="B26" s="2" t="s">
        <v>481</v>
      </c>
      <c r="C26" s="2" t="s">
        <v>231</v>
      </c>
      <c r="D26" s="31" t="n">
        <v>46311</v>
      </c>
      <c r="E26" s="2" t="s">
        <v>482</v>
      </c>
      <c r="F26" s="2" t="s">
        <v>484</v>
      </c>
      <c r="G26" s="2" t="s">
        <v>15</v>
      </c>
      <c r="H26" s="2" t="s">
        <v>476</v>
      </c>
      <c r="I26" s="16" t="n">
        <f aca="false">INDEX('Recurring Budgets'!$F$2:$F$125,MATCH(P26,'Recurring Budgets'!$A$2:$A$125,0))</f>
        <v>0.75</v>
      </c>
      <c r="J26" s="16" t="n">
        <f aca="false">INDEX('Recurring Budgets'!$G$2:$G$125,MATCH(P26,'Recurring Budgets'!$A$2:$A$125,0))</f>
        <v>0.5</v>
      </c>
      <c r="K26" s="21" t="n">
        <f aca="false">I26+J26</f>
        <v>1.25</v>
      </c>
      <c r="L26" s="2" t="n">
        <f aca="false">ROUND(K26*60,0)</f>
        <v>75</v>
      </c>
      <c r="M26" s="22" t="n">
        <f aca="false">INDEX('Recurring Budgets'!$M$2:$M$125,MATCH(P26,'Recurring Budgets'!$A$2:$A$125,0))</f>
        <v>196.25</v>
      </c>
      <c r="N26" s="8" t="str">
        <f aca="false">INDEX('Recurring Budgets'!$P$2:$P$125,MATCH(P26,'Recurring Budgets'!$A$2:$A$125,0))</f>
        <v>High</v>
      </c>
      <c r="O26" s="8" t="str">
        <f aca="false">INDEX('Recurring Budgets'!$Q$2:$Q$125,MATCH(P26,'Recurring Budgets'!$A$2:$A$125,0))</f>
        <v>Includes Month-end 0.7, Payroll 0.4. Review = median of 4 closes reviewed in Harvest (0.50h).</v>
      </c>
      <c r="P26" s="2" t="s">
        <v>280</v>
      </c>
    </row>
    <row r="27" customFormat="false" ht="15" hidden="false" customHeight="false" outlineLevel="0" collapsed="false">
      <c r="A27" s="2" t="s">
        <v>31</v>
      </c>
      <c r="B27" s="2" t="s">
        <v>96</v>
      </c>
      <c r="C27" s="2" t="s">
        <v>161</v>
      </c>
      <c r="D27" s="31" t="n">
        <v>46325</v>
      </c>
      <c r="E27" s="2" t="s">
        <v>477</v>
      </c>
      <c r="F27" s="2" t="s">
        <v>478</v>
      </c>
      <c r="G27" s="2" t="s">
        <v>161</v>
      </c>
      <c r="H27" s="2" t="s">
        <v>479</v>
      </c>
      <c r="I27" s="16" t="n">
        <f aca="false">INDEX('1099 Oct 30'!$F$5:$F$45,MATCH(P27,'1099 Oct 30'!$A$5:$A$45,0))</f>
        <v>2</v>
      </c>
      <c r="J27" s="15" t="n">
        <v>0</v>
      </c>
      <c r="K27" s="21" t="n">
        <f aca="false">I27+J27</f>
        <v>2</v>
      </c>
      <c r="L27" s="2" t="n">
        <f aca="false">ROUND(K27*60,0)</f>
        <v>120</v>
      </c>
      <c r="M27" s="22" t="n">
        <f aca="false">I27*Assumptions!$B$4</f>
        <v>190</v>
      </c>
      <c r="N27" s="23" t="s">
        <v>227</v>
      </c>
      <c r="O27" s="2" t="s">
        <v>480</v>
      </c>
      <c r="P27" s="2" t="s">
        <v>31</v>
      </c>
    </row>
    <row r="28" customFormat="false" ht="15" hidden="false" customHeight="false" outlineLevel="0" collapsed="false">
      <c r="A28" s="2" t="s">
        <v>32</v>
      </c>
      <c r="B28" s="2" t="s">
        <v>473</v>
      </c>
      <c r="C28" s="2" t="s">
        <v>237</v>
      </c>
      <c r="D28" s="31" t="n">
        <v>46295</v>
      </c>
      <c r="E28" s="2" t="s">
        <v>482</v>
      </c>
      <c r="F28" s="2" t="s">
        <v>484</v>
      </c>
      <c r="G28" s="2" t="s">
        <v>15</v>
      </c>
      <c r="H28" s="2" t="s">
        <v>476</v>
      </c>
      <c r="I28" s="16" t="n">
        <f aca="false">INDEX('Recurring Budgets'!$F$2:$F$125,MATCH(P28,'Recurring Budgets'!$A$2:$A$125,0))</f>
        <v>2.8333</v>
      </c>
      <c r="J28" s="16" t="n">
        <f aca="false">INDEX('Recurring Budgets'!$G$2:$G$125,MATCH(P28,'Recurring Budgets'!$A$2:$A$125,0))</f>
        <v>1.1</v>
      </c>
      <c r="K28" s="21" t="n">
        <f aca="false">I28+J28</f>
        <v>3.9333</v>
      </c>
      <c r="L28" s="2" t="n">
        <f aca="false">ROUND(K28*60,0)</f>
        <v>236</v>
      </c>
      <c r="M28" s="22" t="n">
        <f aca="false">INDEX('Recurring Budgets'!$M$2:$M$125,MATCH(P28,'Recurring Budgets'!$A$2:$A$125,0))</f>
        <v>544.1635</v>
      </c>
      <c r="N28" s="8" t="str">
        <f aca="false">INDEX('Recurring Budgets'!$P$2:$P$125,MATCH(P28,'Recurring Budgets'!$A$2:$A$125,0))</f>
        <v>High</v>
      </c>
      <c r="O28" s="8" t="str">
        <f aca="false">INDEX('Recurring Budgets'!$Q$2:$Q$125,MATCH(P28,'Recurring Budgets'!$A$2:$A$125,0))</f>
        <v>Includes Month-end 2.6, Bookkeeping 0.9. Review = 1.10h as logged (only 2 reviewed close(s) in Harvest – check).</v>
      </c>
      <c r="P28" s="2" t="s">
        <v>285</v>
      </c>
    </row>
    <row r="29" customFormat="false" ht="15" hidden="false" customHeight="false" outlineLevel="0" collapsed="false">
      <c r="A29" s="2" t="s">
        <v>32</v>
      </c>
      <c r="B29" s="2" t="s">
        <v>490</v>
      </c>
      <c r="C29" s="2" t="s">
        <v>271</v>
      </c>
      <c r="D29" s="31" t="n">
        <v>46325</v>
      </c>
      <c r="E29" s="2" t="s">
        <v>482</v>
      </c>
      <c r="F29" s="2" t="s">
        <v>475</v>
      </c>
      <c r="G29" s="2" t="s">
        <v>21</v>
      </c>
      <c r="H29" s="2" t="s">
        <v>476</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491</v>
      </c>
      <c r="D30" s="31" t="n">
        <v>46291</v>
      </c>
      <c r="E30" s="2" t="s">
        <v>492</v>
      </c>
      <c r="F30" s="2" t="s">
        <v>493</v>
      </c>
      <c r="G30" s="2" t="s">
        <v>90</v>
      </c>
      <c r="H30" s="2" t="s">
        <v>494</v>
      </c>
      <c r="I30" s="15" t="n">
        <v>2.5</v>
      </c>
      <c r="J30" s="15" t="n">
        <v>0</v>
      </c>
      <c r="K30" s="21" t="n">
        <f aca="false">I30+J30</f>
        <v>2.5</v>
      </c>
      <c r="L30" s="2" t="n">
        <f aca="false">ROUND(K30*60,0)</f>
        <v>150</v>
      </c>
      <c r="M30" s="22" t="n">
        <f aca="false">I30*Assumptions!$B$4+J30*Assumptions!$B$5</f>
        <v>237.5</v>
      </c>
      <c r="N30" s="23" t="s">
        <v>227</v>
      </c>
      <c r="O30" s="2" t="s">
        <v>495</v>
      </c>
      <c r="P30" s="2"/>
    </row>
    <row r="31" customFormat="false" ht="15" hidden="false" customHeight="false" outlineLevel="0" collapsed="false">
      <c r="A31" s="2" t="s">
        <v>33</v>
      </c>
      <c r="B31" s="2" t="s">
        <v>473</v>
      </c>
      <c r="C31" s="2" t="s">
        <v>231</v>
      </c>
      <c r="D31" s="31" t="n">
        <v>46282</v>
      </c>
      <c r="E31" s="2" t="s">
        <v>482</v>
      </c>
      <c r="F31" s="2" t="s">
        <v>475</v>
      </c>
      <c r="G31" s="2" t="s">
        <v>15</v>
      </c>
      <c r="H31" s="2" t="s">
        <v>476</v>
      </c>
      <c r="I31" s="16" t="n">
        <f aca="false">INDEX('Recurring Budgets'!$F$2:$F$125,MATCH(P31,'Recurring Budgets'!$A$2:$A$125,0))</f>
        <v>6.9167</v>
      </c>
      <c r="J31" s="16" t="n">
        <f aca="false">INDEX('Recurring Budgets'!$G$2:$G$125,MATCH(P31,'Recurring Budgets'!$A$2:$A$125,0))</f>
        <v>0.8</v>
      </c>
      <c r="K31" s="21" t="n">
        <f aca="false">I31+J31</f>
        <v>7.7167</v>
      </c>
      <c r="L31" s="2" t="n">
        <f aca="false">ROUND(K31*60,0)</f>
        <v>463</v>
      </c>
      <c r="M31" s="22" t="n">
        <f aca="false">INDEX('Recurring Budgets'!$M$2:$M$125,MATCH(P31,'Recurring Budgets'!$A$2:$A$125,0))</f>
        <v>857.0865</v>
      </c>
      <c r="N31" s="8" t="str">
        <f aca="false">INDEX('Recurring Budgets'!$P$2:$P$125,MATCH(P31,'Recurring Budgets'!$A$2:$A$125,0))</f>
        <v>High</v>
      </c>
      <c r="O31" s="8" t="str">
        <f aca="false">INDEX('Recurring Budgets'!$Q$2:$Q$125,MATCH(P31,'Recurring Budgets'!$A$2:$A$125,0))</f>
        <v>Includes Month-end 2.5, Bookkeeping 0.2, Payroll 1.6, CFO advisory 2.1. Review = median of 6 closes reviewed in Harvest (0.80h).</v>
      </c>
      <c r="P31" s="2" t="s">
        <v>288</v>
      </c>
    </row>
    <row r="32" customFormat="false" ht="15" hidden="false" customHeight="false" outlineLevel="0" collapsed="false">
      <c r="A32" s="2" t="s">
        <v>33</v>
      </c>
      <c r="B32" s="2" t="s">
        <v>481</v>
      </c>
      <c r="C32" s="2" t="s">
        <v>231</v>
      </c>
      <c r="D32" s="31" t="n">
        <v>46304</v>
      </c>
      <c r="E32" s="2" t="s">
        <v>482</v>
      </c>
      <c r="F32" s="2" t="s">
        <v>484</v>
      </c>
      <c r="G32" s="2" t="s">
        <v>15</v>
      </c>
      <c r="H32" s="2" t="s">
        <v>476</v>
      </c>
      <c r="I32" s="16" t="n">
        <f aca="false">INDEX('Recurring Budgets'!$F$2:$F$125,MATCH(P32,'Recurring Budgets'!$A$2:$A$125,0))</f>
        <v>6.9167</v>
      </c>
      <c r="J32" s="16" t="n">
        <f aca="false">INDEX('Recurring Budgets'!$G$2:$G$125,MATCH(P32,'Recurring Budgets'!$A$2:$A$125,0))</f>
        <v>0.8</v>
      </c>
      <c r="K32" s="21" t="n">
        <f aca="false">I32+J32</f>
        <v>7.7167</v>
      </c>
      <c r="L32" s="2" t="n">
        <f aca="false">ROUND(K32*60,0)</f>
        <v>463</v>
      </c>
      <c r="M32" s="22" t="n">
        <f aca="false">INDEX('Recurring Budgets'!$M$2:$M$125,MATCH(P32,'Recurring Budgets'!$A$2:$A$125,0))</f>
        <v>857.0865</v>
      </c>
      <c r="N32" s="8" t="str">
        <f aca="false">INDEX('Recurring Budgets'!$P$2:$P$125,MATCH(P32,'Recurring Budgets'!$A$2:$A$125,0))</f>
        <v>High</v>
      </c>
      <c r="O32" s="8" t="str">
        <f aca="false">INDEX('Recurring Budgets'!$Q$2:$Q$125,MATCH(P32,'Recurring Budgets'!$A$2:$A$125,0))</f>
        <v>Includes Month-end 2.5, Bookkeeping 0.2, Payroll 1.6, CFO advisory 2.1. Review = median of 6 closes reviewed in Harvest (0.80h).</v>
      </c>
      <c r="P32" s="2" t="s">
        <v>288</v>
      </c>
    </row>
    <row r="33" customFormat="false" ht="15" hidden="false" customHeight="false" outlineLevel="0" collapsed="false">
      <c r="A33" s="2" t="s">
        <v>33</v>
      </c>
      <c r="B33" s="2" t="s">
        <v>96</v>
      </c>
      <c r="C33" s="2" t="s">
        <v>161</v>
      </c>
      <c r="D33" s="31" t="n">
        <v>46325</v>
      </c>
      <c r="E33" s="2" t="s">
        <v>477</v>
      </c>
      <c r="F33" s="2" t="s">
        <v>478</v>
      </c>
      <c r="G33" s="2" t="s">
        <v>161</v>
      </c>
      <c r="H33" s="2" t="s">
        <v>479</v>
      </c>
      <c r="I33" s="16" t="n">
        <f aca="false">INDEX('1099 Oct 30'!$F$5:$F$45,MATCH(P33,'1099 Oct 30'!$A$5:$A$45,0))</f>
        <v>0.75</v>
      </c>
      <c r="J33" s="15" t="n">
        <v>0</v>
      </c>
      <c r="K33" s="21" t="n">
        <f aca="false">I33+J33</f>
        <v>0.75</v>
      </c>
      <c r="L33" s="2" t="n">
        <f aca="false">ROUND(K33*60,0)</f>
        <v>45</v>
      </c>
      <c r="M33" s="22" t="n">
        <f aca="false">I33*Assumptions!$B$4</f>
        <v>71.25</v>
      </c>
      <c r="N33" s="23" t="s">
        <v>227</v>
      </c>
      <c r="O33" s="2" t="s">
        <v>480</v>
      </c>
      <c r="P33" s="2" t="s">
        <v>33</v>
      </c>
    </row>
    <row r="34" customFormat="false" ht="15" hidden="false" customHeight="false" outlineLevel="0" collapsed="false">
      <c r="A34" s="2" t="s">
        <v>34</v>
      </c>
      <c r="B34" s="2" t="s">
        <v>473</v>
      </c>
      <c r="C34" s="2" t="s">
        <v>231</v>
      </c>
      <c r="D34" s="31" t="n">
        <v>46276</v>
      </c>
      <c r="E34" s="2" t="s">
        <v>482</v>
      </c>
      <c r="F34" s="2" t="s">
        <v>484</v>
      </c>
      <c r="G34" s="2" t="s">
        <v>15</v>
      </c>
      <c r="H34" s="2" t="s">
        <v>476</v>
      </c>
      <c r="I34" s="16" t="n">
        <f aca="false">INDEX('Recurring Budgets'!$F$2:$F$125,MATCH(P34,'Recurring Budgets'!$A$2:$A$125,0))</f>
        <v>0.4167</v>
      </c>
      <c r="J34" s="16" t="n">
        <f aca="false">INDEX('Recurring Budgets'!$G$2:$G$125,MATCH(P34,'Recurring Budgets'!$A$2:$A$125,0))</f>
        <v>0.5</v>
      </c>
      <c r="K34" s="21" t="n">
        <f aca="false">I34+J34</f>
        <v>0.9167</v>
      </c>
      <c r="L34" s="2" t="n">
        <f aca="false">ROUND(K34*60,0)</f>
        <v>55</v>
      </c>
      <c r="M34" s="22" t="n">
        <f aca="false">INDEX('Recurring Budgets'!$M$2:$M$125,MATCH(P34,'Recurring Budgets'!$A$2:$A$125,0))</f>
        <v>164.5865</v>
      </c>
      <c r="N34" s="8" t="str">
        <f aca="false">INDEX('Recurring Budgets'!$P$2:$P$125,MATCH(P34,'Recurring Budgets'!$A$2:$A$125,0))</f>
        <v>High</v>
      </c>
      <c r="O34" s="8" t="str">
        <f aca="false">INDEX('Recurring Budgets'!$Q$2:$Q$125,MATCH(P34,'Recurring Budgets'!$A$2:$A$125,0))</f>
        <v>Includes Month-end 0.7. Review = median of 4 closes reviewed in Harvest (0.50h).</v>
      </c>
      <c r="P34" s="2" t="s">
        <v>291</v>
      </c>
    </row>
    <row r="35" customFormat="false" ht="15" hidden="false" customHeight="false" outlineLevel="0" collapsed="false">
      <c r="A35" s="2" t="s">
        <v>34</v>
      </c>
      <c r="B35" s="2" t="s">
        <v>481</v>
      </c>
      <c r="C35" s="2" t="s">
        <v>231</v>
      </c>
      <c r="D35" s="31" t="n">
        <v>46307</v>
      </c>
      <c r="E35" s="2" t="s">
        <v>482</v>
      </c>
      <c r="F35" s="2" t="s">
        <v>484</v>
      </c>
      <c r="G35" s="2" t="s">
        <v>15</v>
      </c>
      <c r="H35" s="2" t="s">
        <v>476</v>
      </c>
      <c r="I35" s="16" t="n">
        <f aca="false">INDEX('Recurring Budgets'!$F$2:$F$125,MATCH(P35,'Recurring Budgets'!$A$2:$A$125,0))</f>
        <v>0.4167</v>
      </c>
      <c r="J35" s="16" t="n">
        <f aca="false">INDEX('Recurring Budgets'!$G$2:$G$125,MATCH(P35,'Recurring Budgets'!$A$2:$A$125,0))</f>
        <v>0.5</v>
      </c>
      <c r="K35" s="21" t="n">
        <f aca="false">I35+J35</f>
        <v>0.9167</v>
      </c>
      <c r="L35" s="2" t="n">
        <f aca="false">ROUND(K35*60,0)</f>
        <v>55</v>
      </c>
      <c r="M35" s="22" t="n">
        <f aca="false">INDEX('Recurring Budgets'!$M$2:$M$125,MATCH(P35,'Recurring Budgets'!$A$2:$A$125,0))</f>
        <v>164.5865</v>
      </c>
      <c r="N35" s="8" t="str">
        <f aca="false">INDEX('Recurring Budgets'!$P$2:$P$125,MATCH(P35,'Recurring Budgets'!$A$2:$A$125,0))</f>
        <v>High</v>
      </c>
      <c r="O35" s="8" t="str">
        <f aca="false">INDEX('Recurring Budgets'!$Q$2:$Q$125,MATCH(P35,'Recurring Budgets'!$A$2:$A$125,0))</f>
        <v>Includes Month-end 0.7. Review = median of 4 closes reviewed in Harvest (0.50h).</v>
      </c>
      <c r="P35" s="2" t="s">
        <v>291</v>
      </c>
    </row>
    <row r="36" customFormat="false" ht="15" hidden="false" customHeight="false" outlineLevel="0" collapsed="false">
      <c r="A36" s="2" t="s">
        <v>34</v>
      </c>
      <c r="B36" s="2" t="s">
        <v>96</v>
      </c>
      <c r="C36" s="2" t="s">
        <v>161</v>
      </c>
      <c r="D36" s="31" t="n">
        <v>46325</v>
      </c>
      <c r="E36" s="2" t="s">
        <v>477</v>
      </c>
      <c r="F36" s="2" t="s">
        <v>478</v>
      </c>
      <c r="G36" s="2" t="s">
        <v>161</v>
      </c>
      <c r="H36" s="2" t="s">
        <v>479</v>
      </c>
      <c r="I36" s="16" t="n">
        <f aca="false">INDEX('1099 Oct 30'!$F$5:$F$45,MATCH(P36,'1099 Oct 30'!$A$5:$A$45,0))</f>
        <v>0.75</v>
      </c>
      <c r="J36" s="15" t="n">
        <v>0</v>
      </c>
      <c r="K36" s="21" t="n">
        <f aca="false">I36+J36</f>
        <v>0.75</v>
      </c>
      <c r="L36" s="2" t="n">
        <f aca="false">ROUND(K36*60,0)</f>
        <v>45</v>
      </c>
      <c r="M36" s="22" t="n">
        <f aca="false">I36*Assumptions!$B$4</f>
        <v>71.25</v>
      </c>
      <c r="N36" s="23" t="s">
        <v>227</v>
      </c>
      <c r="O36" s="2" t="s">
        <v>480</v>
      </c>
      <c r="P36" s="2" t="s">
        <v>34</v>
      </c>
    </row>
    <row r="37" customFormat="false" ht="15" hidden="false" customHeight="false" outlineLevel="0" collapsed="false">
      <c r="A37" s="2" t="s">
        <v>35</v>
      </c>
      <c r="B37" s="2" t="s">
        <v>473</v>
      </c>
      <c r="C37" s="2" t="s">
        <v>231</v>
      </c>
      <c r="D37" s="31" t="n">
        <v>46275</v>
      </c>
      <c r="E37" s="2" t="s">
        <v>487</v>
      </c>
      <c r="F37" s="2" t="s">
        <v>475</v>
      </c>
      <c r="G37" s="2" t="s">
        <v>15</v>
      </c>
      <c r="H37" s="2" t="s">
        <v>476</v>
      </c>
      <c r="I37" s="16" t="n">
        <f aca="false">INDEX('Recurring Budgets'!$F$2:$F$125,MATCH(P37,'Recurring Budgets'!$A$2:$A$125,0))</f>
        <v>2.9167</v>
      </c>
      <c r="J37" s="16" t="n">
        <f aca="false">INDEX('Recurring Budgets'!$G$2:$G$125,MATCH(P37,'Recurring Budgets'!$A$2:$A$125,0))</f>
        <v>1.25</v>
      </c>
      <c r="K37" s="21" t="n">
        <f aca="false">I37+J37</f>
        <v>4.1667</v>
      </c>
      <c r="L37" s="2" t="n">
        <f aca="false">ROUND(K37*60,0)</f>
        <v>250</v>
      </c>
      <c r="M37" s="22" t="n">
        <f aca="false">INDEX('Recurring Budgets'!$M$2:$M$125,MATCH(P37,'Recurring Budgets'!$A$2:$A$125,0))</f>
        <v>589.5865</v>
      </c>
      <c r="N37" s="8" t="str">
        <f aca="false">INDEX('Recurring Budgets'!$P$2:$P$125,MATCH(P37,'Recurring Budgets'!$A$2:$A$125,0))</f>
        <v>High</v>
      </c>
      <c r="O37" s="8" t="str">
        <f aca="false">INDEX('Recurring Budgets'!$Q$2:$Q$125,MATCH(P37,'Recurring Budgets'!$A$2:$A$125,0))</f>
        <v>Includes Month-end 1.2, Bookkeeping 0.5, Payroll 1.3, Sales tax 0.8. Review = 1.25h as logged (only 2 reviewed close(s) in Harvest – check).</v>
      </c>
      <c r="P37" s="2" t="s">
        <v>295</v>
      </c>
    </row>
    <row r="38" customFormat="false" ht="15" hidden="false" customHeight="false" outlineLevel="0" collapsed="false">
      <c r="A38" s="2" t="s">
        <v>35</v>
      </c>
      <c r="B38" s="2" t="s">
        <v>481</v>
      </c>
      <c r="C38" s="2" t="s">
        <v>231</v>
      </c>
      <c r="D38" s="31" t="n">
        <v>46304</v>
      </c>
      <c r="E38" s="2" t="s">
        <v>482</v>
      </c>
      <c r="F38" s="2" t="s">
        <v>484</v>
      </c>
      <c r="G38" s="2" t="s">
        <v>15</v>
      </c>
      <c r="H38" s="2" t="s">
        <v>476</v>
      </c>
      <c r="I38" s="16" t="n">
        <f aca="false">INDEX('Recurring Budgets'!$F$2:$F$125,MATCH(P38,'Recurring Budgets'!$A$2:$A$125,0))</f>
        <v>2.9167</v>
      </c>
      <c r="J38" s="16" t="n">
        <f aca="false">INDEX('Recurring Budgets'!$G$2:$G$125,MATCH(P38,'Recurring Budgets'!$A$2:$A$125,0))</f>
        <v>1.25</v>
      </c>
      <c r="K38" s="21" t="n">
        <f aca="false">I38+J38</f>
        <v>4.1667</v>
      </c>
      <c r="L38" s="2" t="n">
        <f aca="false">ROUND(K38*60,0)</f>
        <v>250</v>
      </c>
      <c r="M38" s="22" t="n">
        <f aca="false">INDEX('Recurring Budgets'!$M$2:$M$125,MATCH(P38,'Recurring Budgets'!$A$2:$A$125,0))</f>
        <v>589.5865</v>
      </c>
      <c r="N38" s="8" t="str">
        <f aca="false">INDEX('Recurring Budgets'!$P$2:$P$125,MATCH(P38,'Recurring Budgets'!$A$2:$A$125,0))</f>
        <v>High</v>
      </c>
      <c r="O38" s="8" t="str">
        <f aca="false">INDEX('Recurring Budgets'!$Q$2:$Q$125,MATCH(P38,'Recurring Budgets'!$A$2:$A$125,0))</f>
        <v>Includes Month-end 1.2, Bookkeeping 0.5, Payroll 1.3, Sales tax 0.8. Review = 1.25h as logged (only 2 reviewed close(s) in Harvest – check).</v>
      </c>
      <c r="P38" s="2" t="s">
        <v>295</v>
      </c>
    </row>
    <row r="39" customFormat="false" ht="15" hidden="false" customHeight="false" outlineLevel="0" collapsed="false">
      <c r="A39" s="2" t="s">
        <v>35</v>
      </c>
      <c r="B39" s="2" t="s">
        <v>96</v>
      </c>
      <c r="C39" s="2" t="s">
        <v>161</v>
      </c>
      <c r="D39" s="31" t="n">
        <v>46325</v>
      </c>
      <c r="E39" s="2" t="s">
        <v>477</v>
      </c>
      <c r="F39" s="2" t="s">
        <v>478</v>
      </c>
      <c r="G39" s="2" t="s">
        <v>161</v>
      </c>
      <c r="H39" s="2" t="s">
        <v>479</v>
      </c>
      <c r="I39" s="16" t="n">
        <f aca="false">INDEX('1099 Oct 30'!$F$5:$F$45,MATCH(P39,'1099 Oct 30'!$A$5:$A$45,0))</f>
        <v>2</v>
      </c>
      <c r="J39" s="15" t="n">
        <v>0</v>
      </c>
      <c r="K39" s="21" t="n">
        <f aca="false">I39+J39</f>
        <v>2</v>
      </c>
      <c r="L39" s="2" t="n">
        <f aca="false">ROUND(K39*60,0)</f>
        <v>120</v>
      </c>
      <c r="M39" s="22" t="n">
        <f aca="false">I39*Assumptions!$B$4</f>
        <v>190</v>
      </c>
      <c r="N39" s="23" t="s">
        <v>227</v>
      </c>
      <c r="O39" s="2" t="s">
        <v>480</v>
      </c>
      <c r="P39" s="2" t="s">
        <v>35</v>
      </c>
    </row>
    <row r="40" customFormat="false" ht="15" hidden="false" customHeight="false" outlineLevel="0" collapsed="false">
      <c r="A40" s="2" t="s">
        <v>91</v>
      </c>
      <c r="B40" s="2" t="s">
        <v>92</v>
      </c>
      <c r="C40" s="2" t="s">
        <v>243</v>
      </c>
      <c r="D40" s="31" t="n">
        <v>46297</v>
      </c>
      <c r="E40" s="2" t="s">
        <v>474</v>
      </c>
      <c r="F40" s="2" t="s">
        <v>484</v>
      </c>
      <c r="G40" s="2" t="s">
        <v>90</v>
      </c>
      <c r="H40" s="2" t="s">
        <v>494</v>
      </c>
      <c r="I40" s="15" t="n">
        <v>0.5</v>
      </c>
      <c r="J40" s="15" t="n">
        <v>0</v>
      </c>
      <c r="K40" s="21" t="n">
        <f aca="false">I40+J40</f>
        <v>0.5</v>
      </c>
      <c r="L40" s="2" t="n">
        <f aca="false">ROUND(K40*60,0)</f>
        <v>30</v>
      </c>
      <c r="M40" s="22" t="n">
        <f aca="false">I40*Assumptions!$B$4+J40*Assumptions!$B$5</f>
        <v>47.5</v>
      </c>
      <c r="N40" s="23" t="s">
        <v>227</v>
      </c>
      <c r="O40" s="2" t="s">
        <v>496</v>
      </c>
      <c r="P40" s="2"/>
    </row>
    <row r="41" customFormat="false" ht="15" hidden="false" customHeight="false" outlineLevel="0" collapsed="false">
      <c r="A41" s="2" t="s">
        <v>91</v>
      </c>
      <c r="B41" s="2" t="s">
        <v>93</v>
      </c>
      <c r="C41" s="2" t="s">
        <v>243</v>
      </c>
      <c r="D41" s="31" t="n">
        <v>46297</v>
      </c>
      <c r="E41" s="2" t="s">
        <v>474</v>
      </c>
      <c r="F41" s="2" t="s">
        <v>493</v>
      </c>
      <c r="G41" s="2" t="s">
        <v>90</v>
      </c>
      <c r="H41" s="2" t="s">
        <v>494</v>
      </c>
      <c r="I41" s="15" t="n">
        <v>0.5</v>
      </c>
      <c r="J41" s="15" t="n">
        <v>0</v>
      </c>
      <c r="K41" s="21" t="n">
        <f aca="false">I41+J41</f>
        <v>0.5</v>
      </c>
      <c r="L41" s="2" t="n">
        <f aca="false">ROUND(K41*60,0)</f>
        <v>30</v>
      </c>
      <c r="M41" s="22" t="n">
        <f aca="false">I41*Assumptions!$B$4+J41*Assumptions!$B$5</f>
        <v>47.5</v>
      </c>
      <c r="N41" s="23" t="s">
        <v>227</v>
      </c>
      <c r="O41" s="2" t="s">
        <v>496</v>
      </c>
      <c r="P41" s="2"/>
    </row>
    <row r="42" customFormat="false" ht="15" hidden="false" customHeight="false" outlineLevel="0" collapsed="false">
      <c r="A42" s="2" t="s">
        <v>36</v>
      </c>
      <c r="B42" s="2" t="s">
        <v>94</v>
      </c>
      <c r="C42" s="2" t="s">
        <v>491</v>
      </c>
      <c r="D42" s="31" t="n">
        <v>46295</v>
      </c>
      <c r="E42" s="2" t="s">
        <v>474</v>
      </c>
      <c r="F42" s="2" t="s">
        <v>484</v>
      </c>
      <c r="G42" s="2" t="s">
        <v>90</v>
      </c>
      <c r="H42" s="2" t="s">
        <v>494</v>
      </c>
      <c r="I42" s="15" t="n">
        <v>10</v>
      </c>
      <c r="J42" s="15" t="n">
        <v>0</v>
      </c>
      <c r="K42" s="21" t="n">
        <f aca="false">I42+J42</f>
        <v>10</v>
      </c>
      <c r="L42" s="2" t="n">
        <f aca="false">ROUND(K42*60,0)</f>
        <v>600</v>
      </c>
      <c r="M42" s="22" t="n">
        <f aca="false">I42*Assumptions!$B$4+J42*Assumptions!$B$5</f>
        <v>950</v>
      </c>
      <c r="N42" s="23" t="s">
        <v>227</v>
      </c>
      <c r="O42" s="2" t="s">
        <v>497</v>
      </c>
      <c r="P42" s="2"/>
    </row>
    <row r="43" customFormat="false" ht="15" hidden="false" customHeight="false" outlineLevel="0" collapsed="false">
      <c r="A43" s="2" t="s">
        <v>36</v>
      </c>
      <c r="B43" s="2" t="s">
        <v>14</v>
      </c>
      <c r="C43" s="2" t="s">
        <v>231</v>
      </c>
      <c r="D43" s="31" t="n">
        <v>46304</v>
      </c>
      <c r="E43" s="2" t="s">
        <v>474</v>
      </c>
      <c r="F43" s="2" t="s">
        <v>484</v>
      </c>
      <c r="G43" s="2" t="s">
        <v>15</v>
      </c>
      <c r="H43" s="2" t="s">
        <v>476</v>
      </c>
      <c r="I43" s="16" t="n">
        <f aca="false">INDEX('Recurring Budgets'!$F$2:$F$125,MATCH(P43,'Recurring Budgets'!$A$2:$A$125,0))</f>
        <v>2.75</v>
      </c>
      <c r="J43" s="16" t="n">
        <f aca="false">INDEX('Recurring Budgets'!$G$2:$G$125,MATCH(P43,'Recurring Budgets'!$A$2:$A$125,0))</f>
        <v>0.5</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 Review = 0.5h placeholder (no close reviews found in Harvest) – check.</v>
      </c>
      <c r="P43" s="2" t="s">
        <v>298</v>
      </c>
    </row>
    <row r="44" customFormat="false" ht="15" hidden="false" customHeight="false" outlineLevel="0" collapsed="false">
      <c r="A44" s="2" t="s">
        <v>36</v>
      </c>
      <c r="B44" s="2" t="s">
        <v>96</v>
      </c>
      <c r="C44" s="2" t="s">
        <v>161</v>
      </c>
      <c r="D44" s="31" t="n">
        <v>46325</v>
      </c>
      <c r="E44" s="2" t="s">
        <v>477</v>
      </c>
      <c r="F44" s="2" t="s">
        <v>478</v>
      </c>
      <c r="G44" s="2" t="s">
        <v>161</v>
      </c>
      <c r="H44" s="2" t="s">
        <v>479</v>
      </c>
      <c r="I44" s="16" t="n">
        <f aca="false">INDEX('1099 Oct 30'!$F$5:$F$45,MATCH(P44,'1099 Oct 30'!$A$5:$A$45,0))</f>
        <v>4</v>
      </c>
      <c r="J44" s="15" t="n">
        <v>0</v>
      </c>
      <c r="K44" s="21" t="n">
        <f aca="false">I44+J44</f>
        <v>4</v>
      </c>
      <c r="L44" s="2" t="n">
        <f aca="false">ROUND(K44*60,0)</f>
        <v>240</v>
      </c>
      <c r="M44" s="22" t="n">
        <f aca="false">I44*Assumptions!$B$4</f>
        <v>380</v>
      </c>
      <c r="N44" s="23" t="s">
        <v>227</v>
      </c>
      <c r="O44" s="2" t="s">
        <v>480</v>
      </c>
      <c r="P44" s="2" t="s">
        <v>36</v>
      </c>
    </row>
    <row r="45" customFormat="false" ht="15" hidden="false" customHeight="false" outlineLevel="0" collapsed="false">
      <c r="A45" s="2" t="s">
        <v>37</v>
      </c>
      <c r="B45" s="2" t="s">
        <v>95</v>
      </c>
      <c r="C45" s="2" t="s">
        <v>491</v>
      </c>
      <c r="D45" s="31" t="n">
        <v>46288</v>
      </c>
      <c r="E45" s="2" t="s">
        <v>482</v>
      </c>
      <c r="F45" s="2" t="s">
        <v>498</v>
      </c>
      <c r="G45" s="2" t="s">
        <v>90</v>
      </c>
      <c r="H45" s="2" t="s">
        <v>494</v>
      </c>
      <c r="I45" s="15" t="n">
        <v>5.5</v>
      </c>
      <c r="J45" s="15" t="n">
        <v>0</v>
      </c>
      <c r="K45" s="21" t="n">
        <f aca="false">I45+J45</f>
        <v>5.5</v>
      </c>
      <c r="L45" s="2" t="n">
        <f aca="false">ROUND(K45*60,0)</f>
        <v>330</v>
      </c>
      <c r="M45" s="22" t="n">
        <f aca="false">I45*Assumptions!$B$4+J45*Assumptions!$B$5</f>
        <v>522.5</v>
      </c>
      <c r="N45" s="23" t="s">
        <v>227</v>
      </c>
      <c r="O45" s="2" t="s">
        <v>499</v>
      </c>
      <c r="P45" s="2"/>
    </row>
    <row r="46" customFormat="false" ht="15" hidden="false" customHeight="false" outlineLevel="0" collapsed="false">
      <c r="A46" s="2" t="s">
        <v>37</v>
      </c>
      <c r="B46" s="2" t="s">
        <v>481</v>
      </c>
      <c r="C46" s="2" t="s">
        <v>231</v>
      </c>
      <c r="D46" s="31" t="n">
        <v>46308</v>
      </c>
      <c r="E46" s="2" t="s">
        <v>482</v>
      </c>
      <c r="F46" s="2" t="s">
        <v>484</v>
      </c>
      <c r="G46" s="2" t="s">
        <v>15</v>
      </c>
      <c r="H46" s="2" t="s">
        <v>476</v>
      </c>
      <c r="I46" s="16" t="n">
        <f aca="false">INDEX('Recurring Budgets'!$F$2:$F$125,MATCH(P46,'Recurring Budgets'!$A$2:$A$125,0))</f>
        <v>7.6667</v>
      </c>
      <c r="J46" s="16" t="n">
        <f aca="false">INDEX('Recurring Budgets'!$G$2:$G$125,MATCH(P46,'Recurring Budgets'!$A$2:$A$125,0))</f>
        <v>1.2</v>
      </c>
      <c r="K46" s="21" t="n">
        <f aca="false">I46+J46</f>
        <v>8.8667</v>
      </c>
      <c r="L46" s="2" t="n">
        <f aca="false">ROUND(K46*60,0)</f>
        <v>532</v>
      </c>
      <c r="M46" s="22" t="n">
        <f aca="false">INDEX('Recurring Budgets'!$M$2:$M$125,MATCH(P46,'Recurring Budgets'!$A$2:$A$125,0))</f>
        <v>1028.3365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 Review = median of 3 closes reviewed in Harvest (1.20h).</v>
      </c>
      <c r="P46" s="2" t="s">
        <v>303</v>
      </c>
    </row>
    <row r="47" customFormat="false" ht="15" hidden="false" customHeight="false" outlineLevel="0" collapsed="false">
      <c r="A47" s="2" t="s">
        <v>37</v>
      </c>
      <c r="B47" s="2" t="s">
        <v>96</v>
      </c>
      <c r="C47" s="2" t="s">
        <v>161</v>
      </c>
      <c r="D47" s="31" t="n">
        <v>46325</v>
      </c>
      <c r="E47" s="2" t="s">
        <v>477</v>
      </c>
      <c r="F47" s="2" t="s">
        <v>478</v>
      </c>
      <c r="G47" s="2" t="s">
        <v>161</v>
      </c>
      <c r="H47" s="2" t="s">
        <v>479</v>
      </c>
      <c r="I47" s="16" t="n">
        <f aca="false">INDEX('1099 Oct 30'!$F$5:$F$45,MATCH(P47,'1099 Oct 30'!$A$5:$A$45,0))</f>
        <v>0.75</v>
      </c>
      <c r="J47" s="15" t="n">
        <v>0</v>
      </c>
      <c r="K47" s="21" t="n">
        <f aca="false">I47+J47</f>
        <v>0.75</v>
      </c>
      <c r="L47" s="2" t="n">
        <f aca="false">ROUND(K47*60,0)</f>
        <v>45</v>
      </c>
      <c r="M47" s="22" t="n">
        <f aca="false">I47*Assumptions!$B$4</f>
        <v>71.25</v>
      </c>
      <c r="N47" s="23" t="s">
        <v>227</v>
      </c>
      <c r="O47" s="2" t="s">
        <v>480</v>
      </c>
      <c r="P47" s="2" t="s">
        <v>37</v>
      </c>
    </row>
    <row r="48" customFormat="false" ht="15" hidden="false" customHeight="false" outlineLevel="0" collapsed="false">
      <c r="A48" s="2" t="s">
        <v>38</v>
      </c>
      <c r="B48" s="2" t="s">
        <v>473</v>
      </c>
      <c r="C48" s="2" t="s">
        <v>231</v>
      </c>
      <c r="D48" s="31" t="n">
        <v>46295</v>
      </c>
      <c r="E48" s="2" t="s">
        <v>482</v>
      </c>
      <c r="F48" s="2" t="s">
        <v>484</v>
      </c>
      <c r="G48" s="2" t="s">
        <v>15</v>
      </c>
      <c r="H48" s="2" t="s">
        <v>476</v>
      </c>
      <c r="I48" s="16" t="n">
        <f aca="false">INDEX('Recurring Budgets'!$F$2:$F$125,MATCH(P48,'Recurring Budgets'!$A$2:$A$125,0))</f>
        <v>4.4167</v>
      </c>
      <c r="J48" s="16" t="n">
        <f aca="false">INDEX('Recurring Budgets'!$G$2:$G$125,MATCH(P48,'Recurring Budgets'!$A$2:$A$125,0))</f>
        <v>0.7</v>
      </c>
      <c r="K48" s="21" t="n">
        <f aca="false">I48+J48</f>
        <v>5.1167</v>
      </c>
      <c r="L48" s="2" t="n">
        <f aca="false">ROUND(K48*60,0)</f>
        <v>307</v>
      </c>
      <c r="M48" s="22" t="n">
        <f aca="false">INDEX('Recurring Budgets'!$M$2:$M$125,MATCH(P48,'Recurring Budgets'!$A$2:$A$125,0))</f>
        <v>594.5865</v>
      </c>
      <c r="N48" s="8" t="str">
        <f aca="false">INDEX('Recurring Budgets'!$P$2:$P$125,MATCH(P48,'Recurring Budgets'!$A$2:$A$125,0))</f>
        <v>High</v>
      </c>
      <c r="O48" s="8" t="str">
        <f aca="false">INDEX('Recurring Budgets'!$Q$2:$Q$125,MATCH(P48,'Recurring Budgets'!$A$2:$A$125,0))</f>
        <v>Includes Month-end 4.7. Review = median of 6 closes reviewed in Harvest (0.70h).</v>
      </c>
      <c r="P48" s="2" t="s">
        <v>306</v>
      </c>
    </row>
    <row r="49" customFormat="false" ht="15" hidden="false" customHeight="false" outlineLevel="0" collapsed="false">
      <c r="A49" s="2" t="s">
        <v>38</v>
      </c>
      <c r="B49" s="2" t="s">
        <v>96</v>
      </c>
      <c r="C49" s="2" t="s">
        <v>161</v>
      </c>
      <c r="D49" s="31" t="n">
        <v>46325</v>
      </c>
      <c r="E49" s="2" t="s">
        <v>477</v>
      </c>
      <c r="F49" s="2" t="s">
        <v>478</v>
      </c>
      <c r="G49" s="2" t="s">
        <v>161</v>
      </c>
      <c r="H49" s="2" t="s">
        <v>479</v>
      </c>
      <c r="I49" s="16" t="n">
        <f aca="false">INDEX('1099 Oct 30'!$F$5:$F$45,MATCH(P49,'1099 Oct 30'!$A$5:$A$45,0))</f>
        <v>4</v>
      </c>
      <c r="J49" s="15" t="n">
        <v>0</v>
      </c>
      <c r="K49" s="21" t="n">
        <f aca="false">I49+J49</f>
        <v>4</v>
      </c>
      <c r="L49" s="2" t="n">
        <f aca="false">ROUND(K49*60,0)</f>
        <v>240</v>
      </c>
      <c r="M49" s="22" t="n">
        <f aca="false">I49*Assumptions!$B$4</f>
        <v>380</v>
      </c>
      <c r="N49" s="23" t="s">
        <v>227</v>
      </c>
      <c r="O49" s="2" t="s">
        <v>480</v>
      </c>
      <c r="P49" s="2" t="s">
        <v>38</v>
      </c>
    </row>
    <row r="50" customFormat="false" ht="15" hidden="false" customHeight="false" outlineLevel="0" collapsed="false">
      <c r="A50" s="2" t="s">
        <v>39</v>
      </c>
      <c r="B50" s="2" t="s">
        <v>481</v>
      </c>
      <c r="C50" s="2" t="s">
        <v>231</v>
      </c>
      <c r="D50" s="31" t="n">
        <v>46302</v>
      </c>
      <c r="E50" s="2" t="s">
        <v>488</v>
      </c>
      <c r="F50" s="2" t="s">
        <v>478</v>
      </c>
      <c r="G50" s="2" t="s">
        <v>15</v>
      </c>
      <c r="H50" s="2" t="s">
        <v>476</v>
      </c>
      <c r="I50" s="16" t="n">
        <f aca="false">INDEX('Recurring Budgets'!$F$2:$F$125,MATCH(P50,'Recurring Budgets'!$A$2:$A$125,0))</f>
        <v>0.75</v>
      </c>
      <c r="J50" s="16" t="n">
        <f aca="false">INDEX('Recurring Budgets'!$G$2:$G$125,MATCH(P50,'Recurring Budgets'!$A$2:$A$125,0))</f>
        <v>0.5</v>
      </c>
      <c r="K50" s="21" t="n">
        <f aca="false">I50+J50</f>
        <v>1.25</v>
      </c>
      <c r="L50" s="2" t="n">
        <f aca="false">ROUND(K50*60,0)</f>
        <v>75</v>
      </c>
      <c r="M50" s="22" t="n">
        <f aca="false">INDEX('Recurring Budgets'!$M$2:$M$125,MATCH(P50,'Recurring Budgets'!$A$2:$A$125,0))</f>
        <v>196.25</v>
      </c>
      <c r="N50" s="8" t="str">
        <f aca="false">INDEX('Recurring Budgets'!$P$2:$P$125,MATCH(P50,'Recurring Budgets'!$A$2:$A$125,0))</f>
        <v>Medium</v>
      </c>
      <c r="O50" s="8" t="str">
        <f aca="false">INDEX('Recurring Budgets'!$Q$2:$Q$125,MATCH(P50,'Recurring Budgets'!$A$2:$A$125,0))</f>
        <v>Josephine's Apr–May 2026 closes + allowance for a new person (Valentina's hours not used). Review = median of 7 closes reviewed in Harvest (0.50h).</v>
      </c>
      <c r="P50" s="2" t="s">
        <v>309</v>
      </c>
    </row>
    <row r="51" customFormat="false" ht="15" hidden="false" customHeight="false" outlineLevel="0" collapsed="false">
      <c r="A51" s="2" t="s">
        <v>39</v>
      </c>
      <c r="B51" s="2" t="s">
        <v>96</v>
      </c>
      <c r="C51" s="2" t="s">
        <v>161</v>
      </c>
      <c r="D51" s="31" t="n">
        <v>46325</v>
      </c>
      <c r="E51" s="2" t="s">
        <v>477</v>
      </c>
      <c r="F51" s="2" t="s">
        <v>478</v>
      </c>
      <c r="G51" s="2" t="s">
        <v>161</v>
      </c>
      <c r="H51" s="2" t="s">
        <v>479</v>
      </c>
      <c r="I51" s="16" t="n">
        <f aca="false">INDEX('1099 Oct 30'!$F$5:$F$45,MATCH(P51,'1099 Oct 30'!$A$5:$A$45,0))</f>
        <v>0.75</v>
      </c>
      <c r="J51" s="15" t="n">
        <v>0</v>
      </c>
      <c r="K51" s="21" t="n">
        <f aca="false">I51+J51</f>
        <v>0.75</v>
      </c>
      <c r="L51" s="2" t="n">
        <f aca="false">ROUND(K51*60,0)</f>
        <v>45</v>
      </c>
      <c r="M51" s="22" t="n">
        <f aca="false">I51*Assumptions!$B$4</f>
        <v>71.25</v>
      </c>
      <c r="N51" s="23" t="s">
        <v>227</v>
      </c>
      <c r="O51" s="2" t="s">
        <v>480</v>
      </c>
      <c r="P51" s="2" t="s">
        <v>39</v>
      </c>
    </row>
    <row r="52" customFormat="false" ht="15" hidden="false" customHeight="false" outlineLevel="0" collapsed="false">
      <c r="A52" s="2" t="s">
        <v>40</v>
      </c>
      <c r="B52" s="2" t="s">
        <v>473</v>
      </c>
      <c r="C52" s="2" t="s">
        <v>231</v>
      </c>
      <c r="D52" s="31" t="n">
        <v>46269</v>
      </c>
      <c r="E52" s="2" t="s">
        <v>477</v>
      </c>
      <c r="F52" s="2" t="s">
        <v>475</v>
      </c>
      <c r="G52" s="2" t="s">
        <v>15</v>
      </c>
      <c r="H52" s="2" t="s">
        <v>476</v>
      </c>
      <c r="I52" s="16" t="n">
        <f aca="false">INDEX('Recurring Budgets'!$F$2:$F$125,MATCH(P52,'Recurring Budgets'!$A$2:$A$125,0))</f>
        <v>5.75</v>
      </c>
      <c r="J52" s="16" t="n">
        <f aca="false">INDEX('Recurring Budgets'!$G$2:$G$125,MATCH(P52,'Recurring Budgets'!$A$2:$A$125,0))</f>
        <v>0.4833</v>
      </c>
      <c r="K52" s="21" t="n">
        <f aca="false">I52+J52</f>
        <v>6.2333</v>
      </c>
      <c r="L52" s="2" t="n">
        <f aca="false">ROUND(K52*60,0)</f>
        <v>374</v>
      </c>
      <c r="M52" s="22" t="n">
        <f aca="false">INDEX('Recurring Budgets'!$M$2:$M$125,MATCH(P52,'Recurring Budgets'!$A$2:$A$125,0))</f>
        <v>1558.325</v>
      </c>
      <c r="N52" s="8" t="str">
        <f aca="false">INDEX('Recurring Budgets'!$P$2:$P$125,MATCH(P52,'Recurring Budgets'!$A$2:$A$125,0))</f>
        <v>Low – based on Valentina's hours</v>
      </c>
      <c r="O52" s="8" t="str">
        <f aca="false">INDEX('Recurring Budgets'!$Q$2:$Q$125,MATCH(P52,'Recurring Budgets'!$A$2:$A$125,0))</f>
        <v>Includes Month-end 1.8, CFO advisory 3.8. Review = median of 4 closes reviewed in Harvest (0.48h).</v>
      </c>
      <c r="P52" s="2" t="s">
        <v>313</v>
      </c>
    </row>
    <row r="53" customFormat="false" ht="15" hidden="false" customHeight="false" outlineLevel="0" collapsed="false">
      <c r="A53" s="2" t="s">
        <v>40</v>
      </c>
      <c r="B53" s="2" t="s">
        <v>481</v>
      </c>
      <c r="C53" s="2" t="s">
        <v>231</v>
      </c>
      <c r="D53" s="31" t="n">
        <v>46301</v>
      </c>
      <c r="E53" s="2" t="s">
        <v>488</v>
      </c>
      <c r="F53" s="2" t="s">
        <v>484</v>
      </c>
      <c r="G53" s="2" t="s">
        <v>15</v>
      </c>
      <c r="H53" s="2" t="s">
        <v>476</v>
      </c>
      <c r="I53" s="16" t="n">
        <f aca="false">INDEX('Recurring Budgets'!$F$2:$F$125,MATCH(P53,'Recurring Budgets'!$A$2:$A$125,0))</f>
        <v>5.75</v>
      </c>
      <c r="J53" s="16" t="n">
        <f aca="false">INDEX('Recurring Budgets'!$G$2:$G$125,MATCH(P53,'Recurring Budgets'!$A$2:$A$125,0))</f>
        <v>0.4833</v>
      </c>
      <c r="K53" s="21" t="n">
        <f aca="false">I53+J53</f>
        <v>6.2333</v>
      </c>
      <c r="L53" s="2" t="n">
        <f aca="false">ROUND(K53*60,0)</f>
        <v>374</v>
      </c>
      <c r="M53" s="22" t="n">
        <f aca="false">INDEX('Recurring Budgets'!$M$2:$M$125,MATCH(P53,'Recurring Budgets'!$A$2:$A$125,0))</f>
        <v>1558.325</v>
      </c>
      <c r="N53" s="8" t="str">
        <f aca="false">INDEX('Recurring Budgets'!$P$2:$P$125,MATCH(P53,'Recurring Budgets'!$A$2:$A$125,0))</f>
        <v>Low – based on Valentina's hours</v>
      </c>
      <c r="O53" s="8" t="str">
        <f aca="false">INDEX('Recurring Budgets'!$Q$2:$Q$125,MATCH(P53,'Recurring Budgets'!$A$2:$A$125,0))</f>
        <v>Includes Month-end 1.8, CFO advisory 3.8. Review = median of 4 closes reviewed in Harvest (0.48h).</v>
      </c>
      <c r="P53" s="2" t="s">
        <v>313</v>
      </c>
    </row>
    <row r="54" customFormat="false" ht="15" hidden="false" customHeight="false" outlineLevel="0" collapsed="false">
      <c r="A54" s="2" t="s">
        <v>40</v>
      </c>
      <c r="B54" s="2" t="s">
        <v>96</v>
      </c>
      <c r="C54" s="2" t="s">
        <v>161</v>
      </c>
      <c r="D54" s="31" t="n">
        <v>46325</v>
      </c>
      <c r="E54" s="2" t="s">
        <v>477</v>
      </c>
      <c r="F54" s="2" t="s">
        <v>478</v>
      </c>
      <c r="G54" s="2" t="s">
        <v>161</v>
      </c>
      <c r="H54" s="2" t="s">
        <v>479</v>
      </c>
      <c r="I54" s="16" t="n">
        <f aca="false">INDEX('1099 Oct 30'!$F$5:$F$45,MATCH(P54,'1099 Oct 30'!$A$5:$A$45,0))</f>
        <v>1.125</v>
      </c>
      <c r="J54" s="15" t="n">
        <v>0</v>
      </c>
      <c r="K54" s="21" t="n">
        <f aca="false">I54+J54</f>
        <v>1.125</v>
      </c>
      <c r="L54" s="2" t="n">
        <f aca="false">ROUND(K54*60,0)</f>
        <v>68</v>
      </c>
      <c r="M54" s="22" t="n">
        <f aca="false">I54*Assumptions!$B$4</f>
        <v>106.875</v>
      </c>
      <c r="N54" s="23" t="s">
        <v>227</v>
      </c>
      <c r="O54" s="2" t="s">
        <v>480</v>
      </c>
      <c r="P54" s="2" t="s">
        <v>40</v>
      </c>
    </row>
    <row r="55" customFormat="false" ht="15" hidden="false" customHeight="false" outlineLevel="0" collapsed="false">
      <c r="A55" s="2" t="s">
        <v>317</v>
      </c>
      <c r="B55" s="2" t="s">
        <v>96</v>
      </c>
      <c r="C55" s="2" t="s">
        <v>243</v>
      </c>
      <c r="D55" s="31" t="n">
        <v>46325</v>
      </c>
      <c r="E55" s="2" t="s">
        <v>477</v>
      </c>
      <c r="F55" s="2" t="s">
        <v>478</v>
      </c>
      <c r="G55" s="2" t="s">
        <v>161</v>
      </c>
      <c r="H55" s="2" t="s">
        <v>318</v>
      </c>
      <c r="I55" s="21"/>
      <c r="J55" s="21"/>
      <c r="K55" s="21"/>
      <c r="L55" s="2"/>
      <c r="M55" s="29"/>
      <c r="N55" s="30" t="s">
        <v>318</v>
      </c>
      <c r="O55" s="2" t="s">
        <v>319</v>
      </c>
      <c r="P55" s="2"/>
    </row>
    <row r="56" customFormat="false" ht="15" hidden="false" customHeight="false" outlineLevel="0" collapsed="false">
      <c r="A56" s="2" t="s">
        <v>41</v>
      </c>
      <c r="B56" s="2" t="s">
        <v>473</v>
      </c>
      <c r="C56" s="2" t="s">
        <v>231</v>
      </c>
      <c r="D56" s="31" t="n">
        <v>46286</v>
      </c>
      <c r="E56" s="2" t="s">
        <v>487</v>
      </c>
      <c r="F56" s="2" t="s">
        <v>493</v>
      </c>
      <c r="G56" s="2" t="s">
        <v>15</v>
      </c>
      <c r="H56" s="2" t="s">
        <v>476</v>
      </c>
      <c r="I56" s="16" t="n">
        <f aca="false">INDEX('Recurring Budgets'!$F$2:$F$125,MATCH(P56,'Recurring Budgets'!$A$2:$A$125,0))</f>
        <v>5.5</v>
      </c>
      <c r="J56" s="16" t="n">
        <f aca="false">INDEX('Recurring Budgets'!$G$2:$G$125,MATCH(P56,'Recurring Budgets'!$A$2:$A$125,0))</f>
        <v>1.75</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323</v>
      </c>
    </row>
    <row r="57" customFormat="false" ht="15" hidden="false" customHeight="false" outlineLevel="0" collapsed="false">
      <c r="A57" s="2" t="s">
        <v>41</v>
      </c>
      <c r="B57" s="2" t="s">
        <v>481</v>
      </c>
      <c r="C57" s="2" t="s">
        <v>231</v>
      </c>
      <c r="D57" s="31" t="n">
        <v>46316</v>
      </c>
      <c r="E57" s="2" t="s">
        <v>487</v>
      </c>
      <c r="F57" s="2" t="s">
        <v>493</v>
      </c>
      <c r="G57" s="2" t="s">
        <v>15</v>
      </c>
      <c r="H57" s="2" t="s">
        <v>476</v>
      </c>
      <c r="I57" s="16" t="n">
        <f aca="false">INDEX('Recurring Budgets'!$F$2:$F$125,MATCH(P57,'Recurring Budgets'!$A$2:$A$125,0))</f>
        <v>5.5</v>
      </c>
      <c r="J57" s="16" t="n">
        <f aca="false">INDEX('Recurring Budgets'!$G$2:$G$125,MATCH(P57,'Recurring Budgets'!$A$2:$A$125,0))</f>
        <v>1.75</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323</v>
      </c>
    </row>
    <row r="58" customFormat="false" ht="15" hidden="false" customHeight="false" outlineLevel="0" collapsed="false">
      <c r="A58" s="2" t="s">
        <v>43</v>
      </c>
      <c r="B58" s="2" t="s">
        <v>96</v>
      </c>
      <c r="C58" s="2" t="s">
        <v>161</v>
      </c>
      <c r="D58" s="31" t="n">
        <v>46265</v>
      </c>
      <c r="E58" s="2" t="s">
        <v>482</v>
      </c>
      <c r="F58" s="2" t="s">
        <v>500</v>
      </c>
      <c r="G58" s="2" t="s">
        <v>161</v>
      </c>
      <c r="H58" s="2" t="s">
        <v>494</v>
      </c>
      <c r="I58" s="15" t="n">
        <v>0.75</v>
      </c>
      <c r="J58" s="15" t="n">
        <v>0</v>
      </c>
      <c r="K58" s="21" t="n">
        <f aca="false">I58+J58</f>
        <v>0.75</v>
      </c>
      <c r="L58" s="2" t="n">
        <f aca="false">ROUND(K58*60,0)</f>
        <v>45</v>
      </c>
      <c r="M58" s="22" t="n">
        <f aca="false">I58*Assumptions!$B$4+J58*Assumptions!$B$5</f>
        <v>71.25</v>
      </c>
      <c r="N58" s="23" t="s">
        <v>227</v>
      </c>
      <c r="O58" s="2" t="s">
        <v>501</v>
      </c>
      <c r="P58" s="2"/>
    </row>
    <row r="59" customFormat="false" ht="15" hidden="false" customHeight="false" outlineLevel="0" collapsed="false">
      <c r="A59" s="2" t="s">
        <v>43</v>
      </c>
      <c r="B59" s="2" t="s">
        <v>473</v>
      </c>
      <c r="C59" s="2" t="s">
        <v>231</v>
      </c>
      <c r="D59" s="31" t="n">
        <v>46295</v>
      </c>
      <c r="E59" s="2" t="s">
        <v>482</v>
      </c>
      <c r="F59" s="2" t="s">
        <v>475</v>
      </c>
      <c r="G59" s="2" t="s">
        <v>15</v>
      </c>
      <c r="H59" s="2" t="s">
        <v>476</v>
      </c>
      <c r="I59" s="16" t="n">
        <f aca="false">INDEX('Recurring Budgets'!$F$2:$F$125,MATCH(P59,'Recurring Budgets'!$A$2:$A$125,0))</f>
        <v>22.1667</v>
      </c>
      <c r="J59" s="16" t="n">
        <f aca="false">INDEX('Recurring Budgets'!$G$2:$G$125,MATCH(P59,'Recurring Budgets'!$A$2:$A$125,0))</f>
        <v>1.5</v>
      </c>
      <c r="K59" s="21" t="n">
        <f aca="false">I59+J59</f>
        <v>23.6667</v>
      </c>
      <c r="L59" s="2" t="n">
        <f aca="false">ROUND(K59*60,0)</f>
        <v>1420</v>
      </c>
      <c r="M59" s="22" t="n">
        <f aca="false">INDEX('Recurring Budgets'!$M$2:$M$125,MATCH(P59,'Recurring Budgets'!$A$2:$A$125,0))</f>
        <v>2480.8365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 Review = median of 10 closes reviewed in Harvest (1.50h).</v>
      </c>
      <c r="P59" s="2" t="s">
        <v>328</v>
      </c>
    </row>
    <row r="60" customFormat="false" ht="15" hidden="false" customHeight="false" outlineLevel="0" collapsed="false">
      <c r="A60" s="2" t="s">
        <v>43</v>
      </c>
      <c r="B60" s="2" t="s">
        <v>97</v>
      </c>
      <c r="C60" s="2" t="s">
        <v>491</v>
      </c>
      <c r="D60" s="31" t="n">
        <v>46295</v>
      </c>
      <c r="E60" s="2" t="s">
        <v>482</v>
      </c>
      <c r="F60" s="2" t="s">
        <v>484</v>
      </c>
      <c r="G60" s="2" t="s">
        <v>90</v>
      </c>
      <c r="H60" s="2" t="s">
        <v>494</v>
      </c>
      <c r="I60" s="15" t="n">
        <v>8</v>
      </c>
      <c r="J60" s="15" t="n">
        <v>0</v>
      </c>
      <c r="K60" s="21" t="n">
        <f aca="false">I60+J60</f>
        <v>8</v>
      </c>
      <c r="L60" s="2" t="n">
        <f aca="false">ROUND(K60*60,0)</f>
        <v>480</v>
      </c>
      <c r="M60" s="22" t="n">
        <f aca="false">I60*Assumptions!$B$4+J60*Assumptions!$B$5</f>
        <v>760</v>
      </c>
      <c r="N60" s="23" t="s">
        <v>227</v>
      </c>
      <c r="O60" s="2" t="s">
        <v>502</v>
      </c>
      <c r="P60" s="2"/>
    </row>
    <row r="61" customFormat="false" ht="15" hidden="false" customHeight="false" outlineLevel="0" collapsed="false">
      <c r="A61" s="2" t="s">
        <v>43</v>
      </c>
      <c r="B61" s="2" t="s">
        <v>503</v>
      </c>
      <c r="C61" s="2" t="s">
        <v>237</v>
      </c>
      <c r="D61" s="31" t="n">
        <v>46300</v>
      </c>
      <c r="E61" s="2" t="s">
        <v>482</v>
      </c>
      <c r="F61" s="2" t="s">
        <v>484</v>
      </c>
      <c r="G61" s="2" t="s">
        <v>30</v>
      </c>
      <c r="H61" s="2" t="s">
        <v>476</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330</v>
      </c>
    </row>
    <row r="62" customFormat="false" ht="15" hidden="false" customHeight="false" outlineLevel="0" collapsed="false">
      <c r="A62" s="2" t="s">
        <v>43</v>
      </c>
      <c r="B62" s="2" t="s">
        <v>504</v>
      </c>
      <c r="C62" s="2" t="s">
        <v>237</v>
      </c>
      <c r="D62" s="31" t="n">
        <v>46307</v>
      </c>
      <c r="E62" s="2" t="s">
        <v>482</v>
      </c>
      <c r="F62" s="2" t="s">
        <v>478</v>
      </c>
      <c r="G62" s="2" t="s">
        <v>30</v>
      </c>
      <c r="H62" s="2" t="s">
        <v>476</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330</v>
      </c>
    </row>
    <row r="63" customFormat="false" ht="15" hidden="false" customHeight="false" outlineLevel="0" collapsed="false">
      <c r="A63" s="2" t="s">
        <v>43</v>
      </c>
      <c r="B63" s="2" t="s">
        <v>481</v>
      </c>
      <c r="C63" s="2" t="s">
        <v>231</v>
      </c>
      <c r="D63" s="31" t="n">
        <v>46311</v>
      </c>
      <c r="E63" s="2" t="s">
        <v>482</v>
      </c>
      <c r="F63" s="2" t="s">
        <v>484</v>
      </c>
      <c r="G63" s="2" t="s">
        <v>15</v>
      </c>
      <c r="H63" s="2" t="s">
        <v>476</v>
      </c>
      <c r="I63" s="16" t="n">
        <f aca="false">INDEX('Recurring Budgets'!$F$2:$F$125,MATCH(P63,'Recurring Budgets'!$A$2:$A$125,0))</f>
        <v>22.1667</v>
      </c>
      <c r="J63" s="16" t="n">
        <f aca="false">INDEX('Recurring Budgets'!$G$2:$G$125,MATCH(P63,'Recurring Budgets'!$A$2:$A$125,0))</f>
        <v>1.5</v>
      </c>
      <c r="K63" s="21" t="n">
        <f aca="false">I63+J63</f>
        <v>23.6667</v>
      </c>
      <c r="L63" s="2" t="n">
        <f aca="false">ROUND(K63*60,0)</f>
        <v>1420</v>
      </c>
      <c r="M63" s="22" t="n">
        <f aca="false">INDEX('Recurring Budgets'!$M$2:$M$125,MATCH(P63,'Recurring Budgets'!$A$2:$A$125,0))</f>
        <v>2480.8365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 Review = median of 10 closes reviewed in Harvest (1.50h).</v>
      </c>
      <c r="P63" s="2" t="s">
        <v>328</v>
      </c>
    </row>
    <row r="64" customFormat="false" ht="15" hidden="false" customHeight="false" outlineLevel="0" collapsed="false">
      <c r="A64" s="2" t="s">
        <v>43</v>
      </c>
      <c r="B64" s="2" t="s">
        <v>96</v>
      </c>
      <c r="C64" s="2" t="s">
        <v>161</v>
      </c>
      <c r="D64" s="31" t="n">
        <v>46325</v>
      </c>
      <c r="E64" s="2" t="s">
        <v>477</v>
      </c>
      <c r="F64" s="2" t="s">
        <v>478</v>
      </c>
      <c r="G64" s="2" t="s">
        <v>161</v>
      </c>
      <c r="H64" s="2" t="s">
        <v>479</v>
      </c>
      <c r="I64" s="16" t="n">
        <f aca="false">INDEX('1099 Oct 30'!$F$5:$F$45,MATCH(P64,'1099 Oct 30'!$A$5:$A$45,0))</f>
        <v>3</v>
      </c>
      <c r="J64" s="15" t="n">
        <v>0</v>
      </c>
      <c r="K64" s="21" t="n">
        <f aca="false">I64+J64</f>
        <v>3</v>
      </c>
      <c r="L64" s="2" t="n">
        <f aca="false">ROUND(K64*60,0)</f>
        <v>180</v>
      </c>
      <c r="M64" s="22" t="n">
        <f aca="false">I64*Assumptions!$B$4</f>
        <v>285</v>
      </c>
      <c r="N64" s="23" t="s">
        <v>227</v>
      </c>
      <c r="O64" s="2" t="s">
        <v>480</v>
      </c>
      <c r="P64" s="2" t="s">
        <v>43</v>
      </c>
    </row>
    <row r="65" customFormat="false" ht="15" hidden="false" customHeight="false" outlineLevel="0" collapsed="false">
      <c r="A65" s="2" t="s">
        <v>45</v>
      </c>
      <c r="B65" s="2" t="s">
        <v>98</v>
      </c>
      <c r="C65" s="2" t="s">
        <v>231</v>
      </c>
      <c r="D65" s="31" t="n">
        <v>46304</v>
      </c>
      <c r="E65" s="2" t="s">
        <v>474</v>
      </c>
      <c r="F65" s="2" t="s">
        <v>484</v>
      </c>
      <c r="G65" s="2" t="s">
        <v>90</v>
      </c>
      <c r="H65" s="2" t="s">
        <v>494</v>
      </c>
      <c r="I65" s="15" t="n">
        <v>3</v>
      </c>
      <c r="J65" s="15" t="n">
        <v>0</v>
      </c>
      <c r="K65" s="21" t="n">
        <f aca="false">I65+J65</f>
        <v>3</v>
      </c>
      <c r="L65" s="2" t="n">
        <f aca="false">ROUND(K65*60,0)</f>
        <v>180</v>
      </c>
      <c r="M65" s="22" t="n">
        <f aca="false">I65*Assumptions!$B$4+J65*Assumptions!$B$5</f>
        <v>285</v>
      </c>
      <c r="N65" s="23" t="s">
        <v>227</v>
      </c>
      <c r="O65" s="2" t="s">
        <v>505</v>
      </c>
      <c r="P65" s="2"/>
    </row>
    <row r="66" customFormat="false" ht="15" hidden="false" customHeight="false" outlineLevel="0" collapsed="false">
      <c r="A66" s="2" t="s">
        <v>45</v>
      </c>
      <c r="B66" s="2" t="s">
        <v>96</v>
      </c>
      <c r="C66" s="2" t="s">
        <v>161</v>
      </c>
      <c r="D66" s="31" t="n">
        <v>46325</v>
      </c>
      <c r="E66" s="2" t="s">
        <v>477</v>
      </c>
      <c r="F66" s="2" t="s">
        <v>478</v>
      </c>
      <c r="G66" s="2" t="s">
        <v>161</v>
      </c>
      <c r="H66" s="2" t="s">
        <v>479</v>
      </c>
      <c r="I66" s="16" t="n">
        <f aca="false">INDEX('1099 Oct 30'!$F$5:$F$45,MATCH(P66,'1099 Oct 30'!$A$5:$A$45,0))</f>
        <v>4</v>
      </c>
      <c r="J66" s="15" t="n">
        <v>0</v>
      </c>
      <c r="K66" s="21" t="n">
        <f aca="false">I66+J66</f>
        <v>4</v>
      </c>
      <c r="L66" s="2" t="n">
        <f aca="false">ROUND(K66*60,0)</f>
        <v>240</v>
      </c>
      <c r="M66" s="22" t="n">
        <f aca="false">I66*Assumptions!$B$4</f>
        <v>380</v>
      </c>
      <c r="N66" s="23" t="s">
        <v>227</v>
      </c>
      <c r="O66" s="2" t="s">
        <v>480</v>
      </c>
      <c r="P66" s="2" t="s">
        <v>45</v>
      </c>
    </row>
    <row r="67" customFormat="false" ht="15" hidden="false" customHeight="false" outlineLevel="0" collapsed="false">
      <c r="A67" s="2" t="s">
        <v>46</v>
      </c>
      <c r="B67" s="2" t="s">
        <v>506</v>
      </c>
      <c r="C67" s="2" t="s">
        <v>243</v>
      </c>
      <c r="D67" s="31" t="n">
        <v>46248</v>
      </c>
      <c r="E67" s="2" t="s">
        <v>487</v>
      </c>
      <c r="F67" s="2" t="s">
        <v>493</v>
      </c>
      <c r="G67" s="2" t="s">
        <v>21</v>
      </c>
      <c r="H67" s="2" t="s">
        <v>476</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336</v>
      </c>
    </row>
    <row r="68" customFormat="false" ht="15" hidden="false" customHeight="false" outlineLevel="0" collapsed="false">
      <c r="A68" s="2" t="s">
        <v>46</v>
      </c>
      <c r="B68" s="2" t="s">
        <v>483</v>
      </c>
      <c r="C68" s="2" t="s">
        <v>237</v>
      </c>
      <c r="D68" s="31" t="n">
        <v>46321</v>
      </c>
      <c r="E68" s="2" t="s">
        <v>488</v>
      </c>
      <c r="F68" s="2" t="s">
        <v>484</v>
      </c>
      <c r="G68" s="2" t="s">
        <v>13</v>
      </c>
      <c r="H68" s="2" t="s">
        <v>476</v>
      </c>
      <c r="I68" s="16" t="n">
        <f aca="false">INDEX('Recurring Budgets'!$F$2:$F$125,MATCH(P68,'Recurring Budgets'!$A$2:$A$125,0))</f>
        <v>18.5833</v>
      </c>
      <c r="J68" s="16" t="n">
        <f aca="false">INDEX('Recurring Budgets'!$G$2:$G$125,MATCH(P68,'Recurring Budgets'!$A$2:$A$125,0))</f>
        <v>0.25</v>
      </c>
      <c r="K68" s="21" t="n">
        <f aca="false">I68+J68</f>
        <v>18.8333</v>
      </c>
      <c r="L68" s="2" t="n">
        <f aca="false">ROUND(K68*60,0)</f>
        <v>1130</v>
      </c>
      <c r="M68" s="22" t="n">
        <f aca="false">INDEX('Recurring Budgets'!$M$2:$M$125,MATCH(P68,'Recurring Budgets'!$A$2:$A$125,0))</f>
        <v>1827.9135</v>
      </c>
      <c r="N68" s="8" t="str">
        <f aca="false">INDEX('Recurring Budgets'!$P$2:$P$125,MATCH(P68,'Recurring Budgets'!$A$2:$A$125,0))</f>
        <v>High</v>
      </c>
      <c r="O68" s="8" t="str">
        <f aca="false">INDEX('Recurring Budgets'!$Q$2:$Q$125,MATCH(P68,'Recurring Budgets'!$A$2:$A$125,0))</f>
        <v>Includes Month-end 10.4, Bookkeeping 7.8, CFO advisory 0.7. Review = 0.25h as logged (only 1 reviewed close(s) in Harvest – check).</v>
      </c>
      <c r="P68" s="2" t="s">
        <v>337</v>
      </c>
    </row>
    <row r="69" customFormat="false" ht="15" hidden="false" customHeight="false" outlineLevel="0" collapsed="false">
      <c r="A69" s="2" t="s">
        <v>46</v>
      </c>
      <c r="B69" s="2" t="s">
        <v>96</v>
      </c>
      <c r="C69" s="2" t="s">
        <v>161</v>
      </c>
      <c r="D69" s="31" t="n">
        <v>46325</v>
      </c>
      <c r="E69" s="2" t="s">
        <v>477</v>
      </c>
      <c r="F69" s="2" t="s">
        <v>478</v>
      </c>
      <c r="G69" s="2" t="s">
        <v>161</v>
      </c>
      <c r="H69" s="2" t="s">
        <v>479</v>
      </c>
      <c r="I69" s="16" t="n">
        <f aca="false">INDEX('1099 Oct 30'!$F$5:$F$45,MATCH(P69,'1099 Oct 30'!$A$5:$A$45,0))</f>
        <v>1.5</v>
      </c>
      <c r="J69" s="15" t="n">
        <v>0</v>
      </c>
      <c r="K69" s="21" t="n">
        <f aca="false">I69+J69</f>
        <v>1.5</v>
      </c>
      <c r="L69" s="2" t="n">
        <f aca="false">ROUND(K69*60,0)</f>
        <v>90</v>
      </c>
      <c r="M69" s="22" t="n">
        <f aca="false">I69*Assumptions!$B$4</f>
        <v>142.5</v>
      </c>
      <c r="N69" s="23" t="s">
        <v>227</v>
      </c>
      <c r="O69" s="2" t="s">
        <v>480</v>
      </c>
      <c r="P69" s="2" t="s">
        <v>46</v>
      </c>
    </row>
    <row r="70" customFormat="false" ht="15" hidden="false" customHeight="false" outlineLevel="0" collapsed="false">
      <c r="A70" s="2" t="s">
        <v>46</v>
      </c>
      <c r="B70" s="2" t="s">
        <v>507</v>
      </c>
      <c r="C70" s="2" t="s">
        <v>271</v>
      </c>
      <c r="D70" s="31" t="n">
        <v>46325</v>
      </c>
      <c r="E70" s="2" t="s">
        <v>492</v>
      </c>
      <c r="F70" s="2" t="s">
        <v>493</v>
      </c>
      <c r="G70" s="2" t="s">
        <v>21</v>
      </c>
      <c r="H70" s="2" t="s">
        <v>476</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334</v>
      </c>
    </row>
    <row r="71" customFormat="false" ht="15" hidden="false" customHeight="false" outlineLevel="0" collapsed="false">
      <c r="A71" s="2" t="s">
        <v>203</v>
      </c>
      <c r="B71" s="2" t="s">
        <v>110</v>
      </c>
      <c r="C71" s="2" t="s">
        <v>231</v>
      </c>
      <c r="D71" s="31" t="n">
        <v>46219</v>
      </c>
      <c r="E71" s="2" t="s">
        <v>487</v>
      </c>
      <c r="F71" s="2" t="s">
        <v>475</v>
      </c>
      <c r="G71" s="2" t="s">
        <v>15</v>
      </c>
      <c r="H71" s="2" t="s">
        <v>318</v>
      </c>
      <c r="I71" s="21"/>
      <c r="J71" s="21"/>
      <c r="K71" s="21"/>
      <c r="L71" s="2"/>
      <c r="M71" s="29"/>
      <c r="N71" s="30" t="s">
        <v>318</v>
      </c>
      <c r="O71" s="2" t="s">
        <v>340</v>
      </c>
      <c r="P71" s="2"/>
    </row>
    <row r="72" customFormat="false" ht="15" hidden="false" customHeight="false" outlineLevel="0" collapsed="false">
      <c r="A72" s="2" t="s">
        <v>203</v>
      </c>
      <c r="B72" s="2" t="s">
        <v>349</v>
      </c>
      <c r="C72" s="2" t="s">
        <v>240</v>
      </c>
      <c r="D72" s="31" t="n">
        <v>46224</v>
      </c>
      <c r="E72" s="2" t="s">
        <v>492</v>
      </c>
      <c r="F72" s="2" t="s">
        <v>500</v>
      </c>
      <c r="G72" s="2" t="s">
        <v>13</v>
      </c>
      <c r="H72" s="2" t="s">
        <v>318</v>
      </c>
      <c r="I72" s="21"/>
      <c r="J72" s="21"/>
      <c r="K72" s="21"/>
      <c r="L72" s="2"/>
      <c r="M72" s="29"/>
      <c r="N72" s="30" t="s">
        <v>318</v>
      </c>
      <c r="O72" s="2" t="s">
        <v>340</v>
      </c>
      <c r="P72" s="2"/>
    </row>
    <row r="73" customFormat="false" ht="15" hidden="false" customHeight="false" outlineLevel="0" collapsed="false">
      <c r="A73" s="2" t="s">
        <v>203</v>
      </c>
      <c r="B73" s="2" t="s">
        <v>109</v>
      </c>
      <c r="C73" s="2" t="s">
        <v>231</v>
      </c>
      <c r="D73" s="31" t="n">
        <v>46248</v>
      </c>
      <c r="E73" s="2" t="s">
        <v>487</v>
      </c>
      <c r="F73" s="2" t="s">
        <v>475</v>
      </c>
      <c r="G73" s="2" t="s">
        <v>15</v>
      </c>
      <c r="H73" s="2" t="s">
        <v>318</v>
      </c>
      <c r="I73" s="21"/>
      <c r="J73" s="21"/>
      <c r="K73" s="21"/>
      <c r="L73" s="2"/>
      <c r="M73" s="29"/>
      <c r="N73" s="30" t="s">
        <v>318</v>
      </c>
      <c r="O73" s="2" t="s">
        <v>340</v>
      </c>
      <c r="P73" s="2"/>
    </row>
    <row r="74" customFormat="false" ht="15" hidden="false" customHeight="false" outlineLevel="0" collapsed="false">
      <c r="A74" s="2" t="s">
        <v>203</v>
      </c>
      <c r="B74" s="2" t="s">
        <v>508</v>
      </c>
      <c r="C74" s="2" t="s">
        <v>276</v>
      </c>
      <c r="D74" s="31" t="n">
        <v>46273</v>
      </c>
      <c r="E74" s="2" t="s">
        <v>492</v>
      </c>
      <c r="F74" s="2" t="s">
        <v>500</v>
      </c>
      <c r="G74" s="2" t="s">
        <v>90</v>
      </c>
      <c r="H74" s="2" t="s">
        <v>318</v>
      </c>
      <c r="I74" s="21"/>
      <c r="J74" s="21"/>
      <c r="K74" s="21"/>
      <c r="L74" s="2"/>
      <c r="M74" s="29"/>
      <c r="N74" s="30" t="s">
        <v>318</v>
      </c>
      <c r="O74" s="2" t="s">
        <v>340</v>
      </c>
      <c r="P74" s="2"/>
    </row>
    <row r="75" customFormat="false" ht="15" hidden="false" customHeight="false" outlineLevel="0" collapsed="false">
      <c r="A75" s="2" t="s">
        <v>203</v>
      </c>
      <c r="B75" s="2" t="s">
        <v>473</v>
      </c>
      <c r="C75" s="2" t="s">
        <v>231</v>
      </c>
      <c r="D75" s="31" t="n">
        <v>46281</v>
      </c>
      <c r="E75" s="2" t="s">
        <v>488</v>
      </c>
      <c r="F75" s="2" t="s">
        <v>500</v>
      </c>
      <c r="G75" s="2" t="s">
        <v>15</v>
      </c>
      <c r="H75" s="2" t="s">
        <v>318</v>
      </c>
      <c r="I75" s="21"/>
      <c r="J75" s="21"/>
      <c r="K75" s="21"/>
      <c r="L75" s="2"/>
      <c r="M75" s="29"/>
      <c r="N75" s="30" t="s">
        <v>318</v>
      </c>
      <c r="O75" s="2" t="s">
        <v>340</v>
      </c>
      <c r="P75" s="2"/>
    </row>
    <row r="76" customFormat="false" ht="15" hidden="false" customHeight="false" outlineLevel="0" collapsed="false">
      <c r="A76" s="2" t="s">
        <v>203</v>
      </c>
      <c r="B76" s="2" t="s">
        <v>509</v>
      </c>
      <c r="C76" s="2" t="s">
        <v>240</v>
      </c>
      <c r="D76" s="31" t="n">
        <v>46283</v>
      </c>
      <c r="E76" s="2" t="s">
        <v>488</v>
      </c>
      <c r="F76" s="2" t="s">
        <v>500</v>
      </c>
      <c r="G76" s="2" t="s">
        <v>15</v>
      </c>
      <c r="H76" s="2" t="s">
        <v>318</v>
      </c>
      <c r="I76" s="21"/>
      <c r="J76" s="21"/>
      <c r="K76" s="21"/>
      <c r="L76" s="2"/>
      <c r="M76" s="29"/>
      <c r="N76" s="30" t="s">
        <v>318</v>
      </c>
      <c r="O76" s="2" t="s">
        <v>340</v>
      </c>
      <c r="P76" s="2"/>
    </row>
    <row r="77" customFormat="false" ht="15" hidden="false" customHeight="false" outlineLevel="0" collapsed="false">
      <c r="A77" s="2" t="s">
        <v>203</v>
      </c>
      <c r="B77" s="2" t="s">
        <v>510</v>
      </c>
      <c r="C77" s="2" t="s">
        <v>237</v>
      </c>
      <c r="D77" s="31" t="n">
        <v>46293</v>
      </c>
      <c r="E77" s="2" t="s">
        <v>492</v>
      </c>
      <c r="F77" s="2" t="s">
        <v>493</v>
      </c>
      <c r="G77" s="2" t="s">
        <v>90</v>
      </c>
      <c r="H77" s="2" t="s">
        <v>318</v>
      </c>
      <c r="I77" s="21"/>
      <c r="J77" s="21"/>
      <c r="K77" s="21"/>
      <c r="L77" s="2"/>
      <c r="M77" s="29"/>
      <c r="N77" s="30" t="s">
        <v>318</v>
      </c>
      <c r="O77" s="2" t="s">
        <v>340</v>
      </c>
      <c r="P77" s="2"/>
    </row>
    <row r="78" customFormat="false" ht="15" hidden="false" customHeight="false" outlineLevel="0" collapsed="false">
      <c r="A78" s="2" t="s">
        <v>203</v>
      </c>
      <c r="B78" s="2" t="s">
        <v>511</v>
      </c>
      <c r="C78" s="2" t="s">
        <v>237</v>
      </c>
      <c r="D78" s="31" t="n">
        <v>46295</v>
      </c>
      <c r="E78" s="2" t="s">
        <v>492</v>
      </c>
      <c r="F78" s="2" t="s">
        <v>484</v>
      </c>
      <c r="G78" s="2" t="s">
        <v>30</v>
      </c>
      <c r="H78" s="2" t="s">
        <v>318</v>
      </c>
      <c r="I78" s="21"/>
      <c r="J78" s="21"/>
      <c r="K78" s="21"/>
      <c r="L78" s="2"/>
      <c r="M78" s="29"/>
      <c r="N78" s="30" t="s">
        <v>318</v>
      </c>
      <c r="O78" s="2" t="s">
        <v>340</v>
      </c>
      <c r="P78" s="2"/>
    </row>
    <row r="79" customFormat="false" ht="15" hidden="false" customHeight="false" outlineLevel="0" collapsed="false">
      <c r="A79" s="2" t="s">
        <v>203</v>
      </c>
      <c r="B79" s="2" t="s">
        <v>512</v>
      </c>
      <c r="C79" s="2" t="s">
        <v>237</v>
      </c>
      <c r="D79" s="31" t="n">
        <v>46302</v>
      </c>
      <c r="E79" s="2" t="s">
        <v>482</v>
      </c>
      <c r="F79" s="2" t="s">
        <v>478</v>
      </c>
      <c r="G79" s="2" t="s">
        <v>30</v>
      </c>
      <c r="H79" s="2" t="s">
        <v>318</v>
      </c>
      <c r="I79" s="21"/>
      <c r="J79" s="21"/>
      <c r="K79" s="21"/>
      <c r="L79" s="2"/>
      <c r="M79" s="29"/>
      <c r="N79" s="30" t="s">
        <v>318</v>
      </c>
      <c r="O79" s="2" t="s">
        <v>340</v>
      </c>
      <c r="P79" s="2"/>
    </row>
    <row r="80" customFormat="false" ht="15" hidden="false" customHeight="false" outlineLevel="0" collapsed="false">
      <c r="A80" s="2" t="s">
        <v>203</v>
      </c>
      <c r="B80" s="2" t="s">
        <v>513</v>
      </c>
      <c r="C80" s="2" t="s">
        <v>276</v>
      </c>
      <c r="D80" s="31" t="n">
        <v>46303</v>
      </c>
      <c r="E80" s="2" t="s">
        <v>482</v>
      </c>
      <c r="F80" s="2" t="s">
        <v>493</v>
      </c>
      <c r="G80" s="2" t="s">
        <v>90</v>
      </c>
      <c r="H80" s="2" t="s">
        <v>318</v>
      </c>
      <c r="I80" s="21"/>
      <c r="J80" s="21"/>
      <c r="K80" s="21"/>
      <c r="L80" s="2"/>
      <c r="M80" s="29"/>
      <c r="N80" s="30" t="s">
        <v>318</v>
      </c>
      <c r="O80" s="2" t="s">
        <v>340</v>
      </c>
      <c r="P80" s="2"/>
    </row>
    <row r="81" customFormat="false" ht="15" hidden="false" customHeight="false" outlineLevel="0" collapsed="false">
      <c r="A81" s="2" t="s">
        <v>203</v>
      </c>
      <c r="B81" s="2" t="s">
        <v>347</v>
      </c>
      <c r="C81" s="2" t="s">
        <v>237</v>
      </c>
      <c r="D81" s="31" t="n">
        <v>46310</v>
      </c>
      <c r="E81" s="2" t="s">
        <v>514</v>
      </c>
      <c r="F81" s="2" t="s">
        <v>500</v>
      </c>
      <c r="G81" s="2" t="s">
        <v>13</v>
      </c>
      <c r="H81" s="2" t="s">
        <v>318</v>
      </c>
      <c r="I81" s="21"/>
      <c r="J81" s="21"/>
      <c r="K81" s="21"/>
      <c r="L81" s="2"/>
      <c r="M81" s="29"/>
      <c r="N81" s="30" t="s">
        <v>318</v>
      </c>
      <c r="O81" s="2" t="s">
        <v>340</v>
      </c>
      <c r="P81" s="2"/>
    </row>
    <row r="82" customFormat="false" ht="15" hidden="false" customHeight="false" outlineLevel="0" collapsed="false">
      <c r="A82" s="2" t="s">
        <v>203</v>
      </c>
      <c r="B82" s="2" t="s">
        <v>60</v>
      </c>
      <c r="C82" s="2" t="s">
        <v>240</v>
      </c>
      <c r="D82" s="31" t="n">
        <v>46310</v>
      </c>
      <c r="E82" s="2" t="s">
        <v>488</v>
      </c>
      <c r="F82" s="2" t="s">
        <v>478</v>
      </c>
      <c r="G82" s="2" t="s">
        <v>13</v>
      </c>
      <c r="H82" s="2" t="s">
        <v>318</v>
      </c>
      <c r="I82" s="21"/>
      <c r="J82" s="21"/>
      <c r="K82" s="21"/>
      <c r="L82" s="2"/>
      <c r="M82" s="29"/>
      <c r="N82" s="30" t="s">
        <v>318</v>
      </c>
      <c r="O82" s="2" t="s">
        <v>340</v>
      </c>
      <c r="P82" s="2"/>
    </row>
    <row r="83" customFormat="false" ht="15" hidden="false" customHeight="false" outlineLevel="0" collapsed="false">
      <c r="A83" s="2" t="s">
        <v>203</v>
      </c>
      <c r="B83" s="2" t="s">
        <v>515</v>
      </c>
      <c r="C83" s="2" t="s">
        <v>240</v>
      </c>
      <c r="D83" s="31" t="n">
        <v>46310</v>
      </c>
      <c r="E83" s="2" t="s">
        <v>482</v>
      </c>
      <c r="F83" s="2" t="s">
        <v>478</v>
      </c>
      <c r="G83" s="2" t="s">
        <v>15</v>
      </c>
      <c r="H83" s="2" t="s">
        <v>318</v>
      </c>
      <c r="I83" s="21"/>
      <c r="J83" s="21"/>
      <c r="K83" s="21"/>
      <c r="L83" s="2"/>
      <c r="M83" s="29"/>
      <c r="N83" s="30" t="s">
        <v>318</v>
      </c>
      <c r="O83" s="2" t="s">
        <v>340</v>
      </c>
      <c r="P83" s="2"/>
    </row>
    <row r="84" customFormat="false" ht="15" hidden="false" customHeight="false" outlineLevel="0" collapsed="false">
      <c r="A84" s="2" t="s">
        <v>203</v>
      </c>
      <c r="B84" s="2" t="s">
        <v>481</v>
      </c>
      <c r="C84" s="2" t="s">
        <v>231</v>
      </c>
      <c r="D84" s="31" t="n">
        <v>46311</v>
      </c>
      <c r="E84" s="2" t="s">
        <v>488</v>
      </c>
      <c r="F84" s="2" t="s">
        <v>484</v>
      </c>
      <c r="G84" s="2" t="s">
        <v>15</v>
      </c>
      <c r="H84" s="2" t="s">
        <v>318</v>
      </c>
      <c r="I84" s="21"/>
      <c r="J84" s="21"/>
      <c r="K84" s="21"/>
      <c r="L84" s="2"/>
      <c r="M84" s="29"/>
      <c r="N84" s="30" t="s">
        <v>318</v>
      </c>
      <c r="O84" s="2" t="s">
        <v>340</v>
      </c>
      <c r="P84" s="2"/>
    </row>
    <row r="85" customFormat="false" ht="15" hidden="false" customHeight="false" outlineLevel="0" collapsed="false">
      <c r="A85" s="2" t="s">
        <v>203</v>
      </c>
      <c r="B85" s="2" t="s">
        <v>96</v>
      </c>
      <c r="C85" s="2" t="s">
        <v>161</v>
      </c>
      <c r="D85" s="31" t="n">
        <v>46325</v>
      </c>
      <c r="E85" s="2" t="s">
        <v>477</v>
      </c>
      <c r="F85" s="2" t="s">
        <v>478</v>
      </c>
      <c r="G85" s="2" t="s">
        <v>161</v>
      </c>
      <c r="H85" s="2" t="s">
        <v>318</v>
      </c>
      <c r="I85" s="21"/>
      <c r="J85" s="21"/>
      <c r="K85" s="21"/>
      <c r="L85" s="2"/>
      <c r="M85" s="29"/>
      <c r="N85" s="30" t="s">
        <v>318</v>
      </c>
      <c r="O85" s="2" t="s">
        <v>340</v>
      </c>
      <c r="P85" s="2"/>
    </row>
    <row r="86" customFormat="false" ht="15" hidden="false" customHeight="false" outlineLevel="0" collapsed="false">
      <c r="A86" s="2" t="s">
        <v>203</v>
      </c>
      <c r="B86" s="2" t="s">
        <v>516</v>
      </c>
      <c r="C86" s="2" t="s">
        <v>271</v>
      </c>
      <c r="D86" s="31" t="n">
        <v>46325</v>
      </c>
      <c r="E86" s="2" t="s">
        <v>487</v>
      </c>
      <c r="F86" s="2" t="s">
        <v>493</v>
      </c>
      <c r="G86" s="2" t="s">
        <v>21</v>
      </c>
      <c r="H86" s="2" t="s">
        <v>318</v>
      </c>
      <c r="I86" s="21"/>
      <c r="J86" s="21"/>
      <c r="K86" s="21"/>
      <c r="L86" s="2"/>
      <c r="M86" s="29"/>
      <c r="N86" s="30" t="s">
        <v>318</v>
      </c>
      <c r="O86" s="2" t="s">
        <v>340</v>
      </c>
      <c r="P86" s="2"/>
    </row>
    <row r="87" customFormat="false" ht="15" hidden="false" customHeight="false" outlineLevel="0" collapsed="false">
      <c r="A87" s="2" t="s">
        <v>47</v>
      </c>
      <c r="B87" s="2" t="s">
        <v>481</v>
      </c>
      <c r="C87" s="2" t="s">
        <v>231</v>
      </c>
      <c r="D87" s="31" t="n">
        <v>46301</v>
      </c>
      <c r="E87" s="2" t="s">
        <v>488</v>
      </c>
      <c r="F87" s="2" t="s">
        <v>484</v>
      </c>
      <c r="G87" s="2" t="s">
        <v>15</v>
      </c>
      <c r="H87" s="2" t="s">
        <v>476</v>
      </c>
      <c r="I87" s="16" t="n">
        <f aca="false">INDEX('Recurring Budgets'!$F$2:$F$125,MATCH(P87,'Recurring Budgets'!$A$2:$A$125,0))</f>
        <v>0.5</v>
      </c>
      <c r="J87" s="16" t="n">
        <f aca="false">INDEX('Recurring Budgets'!$G$2:$G$125,MATCH(P87,'Recurring Budgets'!$A$2:$A$125,0))</f>
        <v>0.3833</v>
      </c>
      <c r="K87" s="21" t="n">
        <f aca="false">I87+J87</f>
        <v>0.8833</v>
      </c>
      <c r="L87" s="2" t="n">
        <f aca="false">ROUND(K87*60,0)</f>
        <v>53</v>
      </c>
      <c r="M87" s="22" t="n">
        <f aca="false">INDEX('Recurring Budgets'!$M$2:$M$125,MATCH(P87,'Recurring Budgets'!$A$2:$A$125,0))</f>
        <v>143.325</v>
      </c>
      <c r="N87" s="8" t="str">
        <f aca="false">INDEX('Recurring Budgets'!$P$2:$P$125,MATCH(P87,'Recurring Budgets'!$A$2:$A$125,0))</f>
        <v>Medium</v>
      </c>
      <c r="O87" s="8" t="str">
        <f aca="false">INDEX('Recurring Budgets'!$Q$2:$Q$125,MATCH(P87,'Recurring Budgets'!$A$2:$A$125,0))</f>
        <v>Josephine's Apr–May 2026 closes + allowance for a new person (Valentina's hours not used). Review = median of 8 closes reviewed in Harvest (0.38h).</v>
      </c>
      <c r="P87" s="2" t="s">
        <v>353</v>
      </c>
    </row>
    <row r="88" customFormat="false" ht="15" hidden="false" customHeight="false" outlineLevel="0" collapsed="false">
      <c r="A88" s="2" t="s">
        <v>47</v>
      </c>
      <c r="B88" s="2" t="s">
        <v>96</v>
      </c>
      <c r="C88" s="2" t="s">
        <v>161</v>
      </c>
      <c r="D88" s="31" t="n">
        <v>46325</v>
      </c>
      <c r="E88" s="2" t="s">
        <v>477</v>
      </c>
      <c r="F88" s="2" t="s">
        <v>478</v>
      </c>
      <c r="G88" s="2" t="s">
        <v>161</v>
      </c>
      <c r="H88" s="2" t="s">
        <v>479</v>
      </c>
      <c r="I88" s="16" t="n">
        <f aca="false">INDEX('1099 Oct 30'!$F$5:$F$45,MATCH(P88,'1099 Oct 30'!$A$5:$A$45,0))</f>
        <v>0.375</v>
      </c>
      <c r="J88" s="15" t="n">
        <v>0</v>
      </c>
      <c r="K88" s="21" t="n">
        <f aca="false">I88+J88</f>
        <v>0.375</v>
      </c>
      <c r="L88" s="2" t="n">
        <f aca="false">ROUND(K88*60,0)</f>
        <v>23</v>
      </c>
      <c r="M88" s="22" t="n">
        <f aca="false">I88*Assumptions!$B$4</f>
        <v>35.625</v>
      </c>
      <c r="N88" s="23" t="s">
        <v>227</v>
      </c>
      <c r="O88" s="2" t="s">
        <v>480</v>
      </c>
      <c r="P88" s="2" t="s">
        <v>47</v>
      </c>
    </row>
    <row r="89" customFormat="false" ht="15" hidden="false" customHeight="false" outlineLevel="0" collapsed="false">
      <c r="A89" s="2" t="s">
        <v>99</v>
      </c>
      <c r="B89" s="2" t="s">
        <v>100</v>
      </c>
      <c r="C89" s="2" t="s">
        <v>491</v>
      </c>
      <c r="D89" s="31" t="n">
        <v>46290</v>
      </c>
      <c r="E89" s="2" t="s">
        <v>492</v>
      </c>
      <c r="F89" s="2" t="s">
        <v>493</v>
      </c>
      <c r="G89" s="2" t="s">
        <v>90</v>
      </c>
      <c r="H89" s="2" t="s">
        <v>494</v>
      </c>
      <c r="I89" s="15" t="n">
        <v>5.5</v>
      </c>
      <c r="J89" s="15" t="n">
        <v>0</v>
      </c>
      <c r="K89" s="21" t="n">
        <f aca="false">I89+J89</f>
        <v>5.5</v>
      </c>
      <c r="L89" s="2" t="n">
        <f aca="false">ROUND(K89*60,0)</f>
        <v>330</v>
      </c>
      <c r="M89" s="22" t="n">
        <f aca="false">I89*Assumptions!$B$4+J89*Assumptions!$B$5</f>
        <v>522.5</v>
      </c>
      <c r="N89" s="23" t="s">
        <v>227</v>
      </c>
      <c r="O89" s="2" t="s">
        <v>517</v>
      </c>
      <c r="P89" s="2"/>
    </row>
    <row r="90" customFormat="false" ht="15" hidden="false" customHeight="false" outlineLevel="0" collapsed="false">
      <c r="A90" s="2" t="s">
        <v>48</v>
      </c>
      <c r="B90" s="2" t="s">
        <v>481</v>
      </c>
      <c r="C90" s="2" t="s">
        <v>231</v>
      </c>
      <c r="D90" s="31" t="n">
        <v>46301</v>
      </c>
      <c r="E90" s="2" t="s">
        <v>488</v>
      </c>
      <c r="F90" s="2" t="s">
        <v>484</v>
      </c>
      <c r="G90" s="2" t="s">
        <v>15</v>
      </c>
      <c r="H90" s="2" t="s">
        <v>476</v>
      </c>
      <c r="I90" s="16" t="n">
        <f aca="false">INDEX('Recurring Budgets'!$F$2:$F$125,MATCH(P90,'Recurring Budgets'!$A$2:$A$125,0))</f>
        <v>1.6667</v>
      </c>
      <c r="J90" s="16" t="n">
        <f aca="false">INDEX('Recurring Budgets'!$G$2:$G$125,MATCH(P90,'Recurring Budgets'!$A$2:$A$125,0))</f>
        <v>0.3833</v>
      </c>
      <c r="K90" s="21" t="n">
        <f aca="false">I90+J90</f>
        <v>2.05</v>
      </c>
      <c r="L90" s="2" t="n">
        <f aca="false">ROUND(K90*60,0)</f>
        <v>123</v>
      </c>
      <c r="M90" s="22" t="n">
        <f aca="false">INDEX('Recurring Budgets'!$M$2:$M$125,MATCH(P90,'Recurring Budgets'!$A$2:$A$125,0))</f>
        <v>254.1615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356</v>
      </c>
    </row>
    <row r="91" customFormat="false" ht="15" hidden="false" customHeight="false" outlineLevel="0" collapsed="false">
      <c r="A91" s="2" t="s">
        <v>48</v>
      </c>
      <c r="B91" s="2" t="s">
        <v>518</v>
      </c>
      <c r="C91" s="2" t="s">
        <v>240</v>
      </c>
      <c r="D91" s="31" t="n">
        <v>46310</v>
      </c>
      <c r="E91" s="2" t="s">
        <v>488</v>
      </c>
      <c r="F91" s="2" t="s">
        <v>478</v>
      </c>
      <c r="G91" s="2" t="s">
        <v>15</v>
      </c>
      <c r="H91" s="2" t="s">
        <v>476</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358</v>
      </c>
    </row>
    <row r="92" customFormat="false" ht="15" hidden="false" customHeight="false" outlineLevel="0" collapsed="false">
      <c r="A92" s="2" t="s">
        <v>48</v>
      </c>
      <c r="B92" s="2" t="s">
        <v>96</v>
      </c>
      <c r="C92" s="2" t="s">
        <v>161</v>
      </c>
      <c r="D92" s="31" t="n">
        <v>46325</v>
      </c>
      <c r="E92" s="2" t="s">
        <v>477</v>
      </c>
      <c r="F92" s="2" t="s">
        <v>478</v>
      </c>
      <c r="G92" s="2" t="s">
        <v>161</v>
      </c>
      <c r="H92" s="2" t="s">
        <v>479</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480</v>
      </c>
      <c r="P92" s="2" t="s">
        <v>48</v>
      </c>
    </row>
    <row r="93" customFormat="false" ht="15" hidden="false" customHeight="false" outlineLevel="0" collapsed="false">
      <c r="A93" s="2" t="s">
        <v>50</v>
      </c>
      <c r="B93" s="2" t="s">
        <v>96</v>
      </c>
      <c r="C93" s="2" t="s">
        <v>161</v>
      </c>
      <c r="D93" s="31" t="n">
        <v>46265</v>
      </c>
      <c r="E93" s="2" t="s">
        <v>482</v>
      </c>
      <c r="F93" s="2" t="s">
        <v>500</v>
      </c>
      <c r="G93" s="2" t="s">
        <v>161</v>
      </c>
      <c r="H93" s="2" t="s">
        <v>494</v>
      </c>
      <c r="I93" s="15" t="n">
        <v>0.75</v>
      </c>
      <c r="J93" s="15" t="n">
        <v>0</v>
      </c>
      <c r="K93" s="21" t="n">
        <f aca="false">I93+J93</f>
        <v>0.75</v>
      </c>
      <c r="L93" s="2" t="n">
        <f aca="false">ROUND(K93*60,0)</f>
        <v>45</v>
      </c>
      <c r="M93" s="22" t="n">
        <f aca="false">I93*Assumptions!$B$4+J93*Assumptions!$B$5</f>
        <v>71.25</v>
      </c>
      <c r="N93" s="23" t="s">
        <v>227</v>
      </c>
      <c r="O93" s="2" t="s">
        <v>501</v>
      </c>
      <c r="P93" s="2"/>
    </row>
    <row r="94" customFormat="false" ht="15" hidden="false" customHeight="false" outlineLevel="0" collapsed="false">
      <c r="A94" s="2" t="s">
        <v>50</v>
      </c>
      <c r="B94" s="2" t="s">
        <v>473</v>
      </c>
      <c r="C94" s="2" t="s">
        <v>231</v>
      </c>
      <c r="D94" s="31" t="n">
        <v>46295</v>
      </c>
      <c r="E94" s="2" t="s">
        <v>482</v>
      </c>
      <c r="F94" s="2" t="s">
        <v>500</v>
      </c>
      <c r="G94" s="2" t="s">
        <v>15</v>
      </c>
      <c r="H94" s="2" t="s">
        <v>476</v>
      </c>
      <c r="I94" s="16" t="n">
        <f aca="false">INDEX('Recurring Budgets'!$F$2:$F$125,MATCH(P94,'Recurring Budgets'!$A$2:$A$125,0))</f>
        <v>35.3333</v>
      </c>
      <c r="J94" s="16" t="n">
        <f aca="false">INDEX('Recurring Budgets'!$G$2:$G$125,MATCH(P94,'Recurring Budgets'!$A$2:$A$125,0))</f>
        <v>1.5</v>
      </c>
      <c r="K94" s="21" t="n">
        <f aca="false">I94+J94</f>
        <v>36.8333</v>
      </c>
      <c r="L94" s="2" t="n">
        <f aca="false">ROUND(K94*60,0)</f>
        <v>2210</v>
      </c>
      <c r="M94" s="22" t="n">
        <f aca="false">INDEX('Recurring Budgets'!$M$2:$M$125,MATCH(P94,'Recurring Budgets'!$A$2:$A$125,0))</f>
        <v>3731.6635</v>
      </c>
      <c r="N94" s="8" t="str">
        <f aca="false">INDEX('Recurring Budgets'!$P$2:$P$125,MATCH(P94,'Recurring Budgets'!$A$2:$A$125,0))</f>
        <v>High</v>
      </c>
      <c r="O94" s="8" t="str">
        <f aca="false">INDEX('Recurring Budgets'!$Q$2:$Q$125,MATCH(P94,'Recurring Budgets'!$A$2:$A$125,0))</f>
        <v>Includes Month-end 13.9, Payroll 12.1, Sales tax 0.5, CFO advisory 7.4. Review = median of 5 closes reviewed in Harvest (1.50h).</v>
      </c>
      <c r="P94" s="2" t="s">
        <v>361</v>
      </c>
    </row>
    <row r="95" customFormat="false" ht="15" hidden="false" customHeight="false" outlineLevel="0" collapsed="false">
      <c r="A95" s="2" t="s">
        <v>50</v>
      </c>
      <c r="B95" s="2" t="s">
        <v>519</v>
      </c>
      <c r="C95" s="2" t="s">
        <v>237</v>
      </c>
      <c r="D95" s="31" t="n">
        <v>46300</v>
      </c>
      <c r="E95" s="2" t="s">
        <v>482</v>
      </c>
      <c r="F95" s="2" t="s">
        <v>484</v>
      </c>
      <c r="G95" s="2" t="s">
        <v>30</v>
      </c>
      <c r="H95" s="2" t="s">
        <v>476</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363</v>
      </c>
    </row>
    <row r="96" customFormat="false" ht="15" hidden="false" customHeight="false" outlineLevel="0" collapsed="false">
      <c r="A96" s="2" t="s">
        <v>50</v>
      </c>
      <c r="B96" s="2" t="s">
        <v>520</v>
      </c>
      <c r="C96" s="2" t="s">
        <v>237</v>
      </c>
      <c r="D96" s="31" t="n">
        <v>46307</v>
      </c>
      <c r="E96" s="2" t="s">
        <v>482</v>
      </c>
      <c r="F96" s="2" t="s">
        <v>478</v>
      </c>
      <c r="G96" s="2" t="s">
        <v>30</v>
      </c>
      <c r="H96" s="2" t="s">
        <v>476</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363</v>
      </c>
    </row>
    <row r="97" customFormat="false" ht="15" hidden="false" customHeight="false" outlineLevel="0" collapsed="false">
      <c r="A97" s="2" t="s">
        <v>50</v>
      </c>
      <c r="B97" s="2" t="s">
        <v>481</v>
      </c>
      <c r="C97" s="2" t="s">
        <v>231</v>
      </c>
      <c r="D97" s="31" t="n">
        <v>46311</v>
      </c>
      <c r="E97" s="2" t="s">
        <v>482</v>
      </c>
      <c r="F97" s="2" t="s">
        <v>484</v>
      </c>
      <c r="G97" s="2" t="s">
        <v>15</v>
      </c>
      <c r="H97" s="2" t="s">
        <v>476</v>
      </c>
      <c r="I97" s="16" t="n">
        <f aca="false">INDEX('Recurring Budgets'!$F$2:$F$125,MATCH(P97,'Recurring Budgets'!$A$2:$A$125,0))</f>
        <v>35.3333</v>
      </c>
      <c r="J97" s="16" t="n">
        <f aca="false">INDEX('Recurring Budgets'!$G$2:$G$125,MATCH(P97,'Recurring Budgets'!$A$2:$A$125,0))</f>
        <v>1.5</v>
      </c>
      <c r="K97" s="21" t="n">
        <f aca="false">I97+J97</f>
        <v>36.8333</v>
      </c>
      <c r="L97" s="2" t="n">
        <f aca="false">ROUND(K97*60,0)</f>
        <v>2210</v>
      </c>
      <c r="M97" s="22" t="n">
        <f aca="false">INDEX('Recurring Budgets'!$M$2:$M$125,MATCH(P97,'Recurring Budgets'!$A$2:$A$125,0))</f>
        <v>3731.6635</v>
      </c>
      <c r="N97" s="8" t="str">
        <f aca="false">INDEX('Recurring Budgets'!$P$2:$P$125,MATCH(P97,'Recurring Budgets'!$A$2:$A$125,0))</f>
        <v>High</v>
      </c>
      <c r="O97" s="8" t="str">
        <f aca="false">INDEX('Recurring Budgets'!$Q$2:$Q$125,MATCH(P97,'Recurring Budgets'!$A$2:$A$125,0))</f>
        <v>Includes Month-end 13.9, Payroll 12.1, Sales tax 0.5, CFO advisory 7.4. Review = median of 5 closes reviewed in Harvest (1.50h).</v>
      </c>
      <c r="P97" s="2" t="s">
        <v>361</v>
      </c>
    </row>
    <row r="98" customFormat="false" ht="15" hidden="false" customHeight="false" outlineLevel="0" collapsed="false">
      <c r="A98" s="2" t="s">
        <v>50</v>
      </c>
      <c r="B98" s="2" t="s">
        <v>96</v>
      </c>
      <c r="C98" s="2" t="s">
        <v>161</v>
      </c>
      <c r="D98" s="31" t="n">
        <v>46325</v>
      </c>
      <c r="E98" s="2" t="s">
        <v>477</v>
      </c>
      <c r="F98" s="2" t="s">
        <v>478</v>
      </c>
      <c r="G98" s="2" t="s">
        <v>161</v>
      </c>
      <c r="H98" s="2" t="s">
        <v>479</v>
      </c>
      <c r="I98" s="16" t="n">
        <f aca="false">INDEX('1099 Oct 30'!$F$5:$F$45,MATCH(P98,'1099 Oct 30'!$A$5:$A$45,0))</f>
        <v>3</v>
      </c>
      <c r="J98" s="15" t="n">
        <v>0</v>
      </c>
      <c r="K98" s="21" t="n">
        <f aca="false">I98+J98</f>
        <v>3</v>
      </c>
      <c r="L98" s="2" t="n">
        <f aca="false">ROUND(K98*60,0)</f>
        <v>180</v>
      </c>
      <c r="M98" s="22" t="n">
        <f aca="false">I98*Assumptions!$B$4</f>
        <v>285</v>
      </c>
      <c r="N98" s="23" t="s">
        <v>227</v>
      </c>
      <c r="O98" s="2" t="s">
        <v>480</v>
      </c>
      <c r="P98" s="2" t="s">
        <v>50</v>
      </c>
    </row>
    <row r="99" customFormat="false" ht="15" hidden="false" customHeight="false" outlineLevel="0" collapsed="false">
      <c r="A99" s="2" t="s">
        <v>52</v>
      </c>
      <c r="B99" s="2" t="s">
        <v>473</v>
      </c>
      <c r="C99" s="2" t="s">
        <v>231</v>
      </c>
      <c r="D99" s="31" t="n">
        <v>46295</v>
      </c>
      <c r="E99" s="2" t="s">
        <v>482</v>
      </c>
      <c r="F99" s="2" t="s">
        <v>484</v>
      </c>
      <c r="G99" s="2" t="s">
        <v>15</v>
      </c>
      <c r="H99" s="2" t="s">
        <v>476</v>
      </c>
      <c r="I99" s="16" t="n">
        <f aca="false">INDEX('Recurring Budgets'!$F$2:$F$125,MATCH(P99,'Recurring Budgets'!$A$2:$A$125,0))</f>
        <v>3.25</v>
      </c>
      <c r="J99" s="16" t="n">
        <f aca="false">INDEX('Recurring Budgets'!$G$2:$G$125,MATCH(P99,'Recurring Budgets'!$A$2:$A$125,0))</f>
        <v>0.7</v>
      </c>
      <c r="K99" s="21" t="n">
        <f aca="false">I99+J99</f>
        <v>3.95</v>
      </c>
      <c r="L99" s="2" t="n">
        <f aca="false">ROUND(K99*60,0)</f>
        <v>237</v>
      </c>
      <c r="M99" s="22" t="n">
        <f aca="false">INDEX('Recurring Budgets'!$M$2:$M$125,MATCH(P99,'Recurring Budgets'!$A$2:$A$125,0))</f>
        <v>483.75</v>
      </c>
      <c r="N99" s="8" t="str">
        <f aca="false">INDEX('Recurring Budgets'!$P$2:$P$125,MATCH(P99,'Recurring Budgets'!$A$2:$A$125,0))</f>
        <v>High</v>
      </c>
      <c r="O99" s="8" t="str">
        <f aca="false">INDEX('Recurring Budgets'!$Q$2:$Q$125,MATCH(P99,'Recurring Budgets'!$A$2:$A$125,0))</f>
        <v>Includes Month-end 2.6, Bookkeeping 0.4, CFO advisory 0.1. Review = median of 5 closes reviewed in Harvest (0.70h).</v>
      </c>
      <c r="P99" s="2" t="s">
        <v>365</v>
      </c>
    </row>
    <row r="100" customFormat="false" ht="15" hidden="false" customHeight="false" outlineLevel="0" collapsed="false">
      <c r="A100" s="2" t="s">
        <v>52</v>
      </c>
      <c r="B100" s="2" t="s">
        <v>96</v>
      </c>
      <c r="C100" s="2" t="s">
        <v>161</v>
      </c>
      <c r="D100" s="31" t="n">
        <v>46325</v>
      </c>
      <c r="E100" s="2" t="s">
        <v>477</v>
      </c>
      <c r="F100" s="2" t="s">
        <v>478</v>
      </c>
      <c r="G100" s="2" t="s">
        <v>161</v>
      </c>
      <c r="H100" s="2" t="s">
        <v>479</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480</v>
      </c>
      <c r="P100" s="2" t="s">
        <v>52</v>
      </c>
    </row>
    <row r="101" customFormat="false" ht="15" hidden="false" customHeight="false" outlineLevel="0" collapsed="false">
      <c r="A101" s="2" t="s">
        <v>53</v>
      </c>
      <c r="B101" s="2" t="s">
        <v>473</v>
      </c>
      <c r="C101" s="2" t="s">
        <v>231</v>
      </c>
      <c r="D101" s="31" t="n">
        <v>46295</v>
      </c>
      <c r="E101" s="2" t="s">
        <v>474</v>
      </c>
      <c r="F101" s="2" t="s">
        <v>475</v>
      </c>
      <c r="G101" s="2" t="s">
        <v>15</v>
      </c>
      <c r="H101" s="2" t="s">
        <v>476</v>
      </c>
      <c r="I101" s="16" t="n">
        <f aca="false">INDEX('Recurring Budgets'!$F$2:$F$125,MATCH(P101,'Recurring Budgets'!$A$2:$A$125,0))</f>
        <v>1.75</v>
      </c>
      <c r="J101" s="16" t="n">
        <f aca="false">INDEX('Recurring Budgets'!$G$2:$G$125,MATCH(P101,'Recurring Budgets'!$A$2:$A$125,0))</f>
        <v>0.7</v>
      </c>
      <c r="K101" s="21" t="n">
        <f aca="false">I101+J101</f>
        <v>2.45</v>
      </c>
      <c r="L101" s="2" t="n">
        <f aca="false">ROUND(K101*60,0)</f>
        <v>147</v>
      </c>
      <c r="M101" s="22" t="n">
        <f aca="false">INDEX('Recurring Budgets'!$M$2:$M$125,MATCH(P101,'Recurring Budgets'!$A$2:$A$125,0))</f>
        <v>341.25</v>
      </c>
      <c r="N101" s="8" t="str">
        <f aca="false">INDEX('Recurring Budgets'!$P$2:$P$125,MATCH(P101,'Recurring Budgets'!$A$2:$A$125,0))</f>
        <v>High</v>
      </c>
      <c r="O101" s="8" t="str">
        <f aca="false">INDEX('Recurring Budgets'!$Q$2:$Q$125,MATCH(P101,'Recurring Budgets'!$A$2:$A$125,0))</f>
        <v>Includes Month-end 1.9. Review = median of 7 closes reviewed in Harvest (0.70h).</v>
      </c>
      <c r="P101" s="2" t="s">
        <v>368</v>
      </c>
    </row>
    <row r="102" customFormat="false" ht="15" hidden="false" customHeight="false" outlineLevel="0" collapsed="false">
      <c r="A102" s="2" t="s">
        <v>53</v>
      </c>
      <c r="B102" s="2" t="s">
        <v>96</v>
      </c>
      <c r="C102" s="2" t="s">
        <v>161</v>
      </c>
      <c r="D102" s="31" t="n">
        <v>46325</v>
      </c>
      <c r="E102" s="2" t="s">
        <v>477</v>
      </c>
      <c r="F102" s="2" t="s">
        <v>478</v>
      </c>
      <c r="G102" s="2" t="s">
        <v>161</v>
      </c>
      <c r="H102" s="2" t="s">
        <v>479</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480</v>
      </c>
      <c r="P102" s="2" t="s">
        <v>53</v>
      </c>
    </row>
    <row r="103" customFormat="false" ht="15" hidden="false" customHeight="false" outlineLevel="0" collapsed="false">
      <c r="A103" s="2" t="s">
        <v>54</v>
      </c>
      <c r="B103" s="2" t="s">
        <v>101</v>
      </c>
      <c r="C103" s="2" t="s">
        <v>231</v>
      </c>
      <c r="D103" s="31" t="n">
        <v>46290</v>
      </c>
      <c r="E103" s="2" t="s">
        <v>492</v>
      </c>
      <c r="F103" s="2" t="s">
        <v>484</v>
      </c>
      <c r="G103" s="2" t="s">
        <v>90</v>
      </c>
      <c r="H103" s="2" t="s">
        <v>494</v>
      </c>
      <c r="I103" s="15" t="n">
        <v>8</v>
      </c>
      <c r="J103" s="15" t="n">
        <v>0.5</v>
      </c>
      <c r="K103" s="21" t="n">
        <f aca="false">I103+J103</f>
        <v>8.5</v>
      </c>
      <c r="L103" s="2" t="n">
        <f aca="false">ROUND(K103*60,0)</f>
        <v>510</v>
      </c>
      <c r="M103" s="22" t="n">
        <f aca="false">I103*Assumptions!$B$4+J103*Assumptions!$B$5</f>
        <v>885</v>
      </c>
      <c r="N103" s="23" t="s">
        <v>227</v>
      </c>
      <c r="O103" s="2" t="s">
        <v>521</v>
      </c>
      <c r="P103" s="2"/>
    </row>
    <row r="104" customFormat="false" ht="15" hidden="false" customHeight="false" outlineLevel="0" collapsed="false">
      <c r="A104" s="2" t="s">
        <v>54</v>
      </c>
      <c r="B104" s="2" t="s">
        <v>102</v>
      </c>
      <c r="C104" s="2" t="s">
        <v>491</v>
      </c>
      <c r="D104" s="31" t="n">
        <v>46295</v>
      </c>
      <c r="E104" s="2" t="s">
        <v>492</v>
      </c>
      <c r="F104" s="2" t="s">
        <v>493</v>
      </c>
      <c r="G104" s="2" t="s">
        <v>90</v>
      </c>
      <c r="H104" s="2" t="s">
        <v>494</v>
      </c>
      <c r="I104" s="15" t="n">
        <v>10</v>
      </c>
      <c r="J104" s="15" t="n">
        <v>0</v>
      </c>
      <c r="K104" s="21" t="n">
        <f aca="false">I104+J104</f>
        <v>10</v>
      </c>
      <c r="L104" s="2" t="n">
        <f aca="false">ROUND(K104*60,0)</f>
        <v>600</v>
      </c>
      <c r="M104" s="22" t="n">
        <f aca="false">I104*Assumptions!$B$4+J104*Assumptions!$B$5</f>
        <v>950</v>
      </c>
      <c r="N104" s="23" t="s">
        <v>227</v>
      </c>
      <c r="O104" s="2" t="s">
        <v>522</v>
      </c>
      <c r="P104" s="2"/>
    </row>
    <row r="105" customFormat="false" ht="15" hidden="false" customHeight="false" outlineLevel="0" collapsed="false">
      <c r="A105" s="2" t="s">
        <v>54</v>
      </c>
      <c r="B105" s="2" t="s">
        <v>523</v>
      </c>
      <c r="C105" s="2" t="s">
        <v>237</v>
      </c>
      <c r="D105" s="31" t="n">
        <v>46301</v>
      </c>
      <c r="E105" s="2" t="s">
        <v>474</v>
      </c>
      <c r="F105" s="2" t="s">
        <v>478</v>
      </c>
      <c r="G105" s="2" t="s">
        <v>56</v>
      </c>
      <c r="H105" s="2" t="s">
        <v>476</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375</v>
      </c>
    </row>
    <row r="106" customFormat="false" ht="15" hidden="false" customHeight="false" outlineLevel="0" collapsed="false">
      <c r="A106" s="2" t="s">
        <v>54</v>
      </c>
      <c r="B106" s="2" t="s">
        <v>524</v>
      </c>
      <c r="C106" s="2" t="s">
        <v>373</v>
      </c>
      <c r="D106" s="31" t="n">
        <v>46302</v>
      </c>
      <c r="E106" s="2" t="s">
        <v>487</v>
      </c>
      <c r="F106" s="2" t="s">
        <v>478</v>
      </c>
      <c r="G106" s="2" t="s">
        <v>56</v>
      </c>
      <c r="H106" s="2" t="s">
        <v>476</v>
      </c>
      <c r="I106" s="16" t="n">
        <f aca="false">INDEX('Recurring Budgets'!$F$2:$F$125,MATCH(P106,'Recurring Budgets'!$A$2:$A$125,0))</f>
        <v>0.3333</v>
      </c>
      <c r="J106" s="16" t="n">
        <f aca="false">INDEX('Recurring Budgets'!$G$2:$G$125,MATCH(P106,'Recurring Budgets'!$A$2:$A$125,0))</f>
        <v>0.1667</v>
      </c>
      <c r="K106" s="21" t="n">
        <f aca="false">I106+J106</f>
        <v>0.5</v>
      </c>
      <c r="L106" s="2" t="n">
        <f aca="false">ROUND(K106*60,0)</f>
        <v>30</v>
      </c>
      <c r="M106" s="22" t="n">
        <f aca="false">INDEX('Recurring Budgets'!$M$2:$M$125,MATCH(P106,'Recurring Budgets'!$A$2:$A$125,0))</f>
        <v>73.3385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372</v>
      </c>
    </row>
    <row r="107" customFormat="false" ht="15" hidden="false" customHeight="false" outlineLevel="0" collapsed="false">
      <c r="A107" s="2" t="s">
        <v>54</v>
      </c>
      <c r="B107" s="2" t="s">
        <v>96</v>
      </c>
      <c r="C107" s="2" t="s">
        <v>243</v>
      </c>
      <c r="D107" s="31" t="n">
        <v>46325</v>
      </c>
      <c r="E107" s="2" t="s">
        <v>477</v>
      </c>
      <c r="F107" s="2" t="s">
        <v>478</v>
      </c>
      <c r="G107" s="2" t="s">
        <v>161</v>
      </c>
      <c r="H107" s="2" t="s">
        <v>479</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480</v>
      </c>
      <c r="P107" s="2" t="s">
        <v>54</v>
      </c>
    </row>
    <row r="108" customFormat="false" ht="15" hidden="false" customHeight="false" outlineLevel="0" collapsed="false">
      <c r="A108" s="2" t="s">
        <v>58</v>
      </c>
      <c r="B108" s="2" t="s">
        <v>525</v>
      </c>
      <c r="C108" s="2" t="s">
        <v>240</v>
      </c>
      <c r="D108" s="31" t="n">
        <v>46314</v>
      </c>
      <c r="E108" s="2" t="s">
        <v>482</v>
      </c>
      <c r="F108" s="2" t="s">
        <v>478</v>
      </c>
      <c r="G108" s="2" t="s">
        <v>13</v>
      </c>
      <c r="H108" s="2" t="s">
        <v>476</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384</v>
      </c>
    </row>
    <row r="109" customFormat="false" ht="15" hidden="false" customHeight="false" outlineLevel="0" collapsed="false">
      <c r="A109" s="2" t="s">
        <v>58</v>
      </c>
      <c r="B109" s="2" t="s">
        <v>96</v>
      </c>
      <c r="C109" s="2" t="s">
        <v>161</v>
      </c>
      <c r="D109" s="31" t="n">
        <v>46325</v>
      </c>
      <c r="E109" s="2" t="s">
        <v>477</v>
      </c>
      <c r="F109" s="2" t="s">
        <v>478</v>
      </c>
      <c r="G109" s="2" t="s">
        <v>161</v>
      </c>
      <c r="H109" s="2" t="s">
        <v>479</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480</v>
      </c>
      <c r="P109" s="2" t="s">
        <v>58</v>
      </c>
    </row>
    <row r="110" customFormat="false" ht="15" hidden="false" customHeight="false" outlineLevel="0" collapsed="false">
      <c r="A110" s="2" t="s">
        <v>58</v>
      </c>
      <c r="B110" s="2" t="s">
        <v>526</v>
      </c>
      <c r="C110" s="2" t="s">
        <v>382</v>
      </c>
      <c r="D110" s="31" t="n">
        <v>46325</v>
      </c>
      <c r="E110" s="2" t="s">
        <v>482</v>
      </c>
      <c r="F110" s="2" t="s">
        <v>484</v>
      </c>
      <c r="G110" s="2" t="s">
        <v>13</v>
      </c>
      <c r="H110" s="2" t="s">
        <v>476</v>
      </c>
      <c r="I110" s="16" t="n">
        <f aca="false">INDEX('Recurring Budgets'!$F$2:$F$125,MATCH(P110,'Recurring Budgets'!$A$2:$A$125,0))</f>
        <v>1.4167</v>
      </c>
      <c r="J110" s="16" t="n">
        <f aca="false">INDEX('Recurring Budgets'!$G$2:$G$125,MATCH(P110,'Recurring Budgets'!$A$2:$A$125,0))</f>
        <v>0.7</v>
      </c>
      <c r="K110" s="21" t="n">
        <f aca="false">I110+J110</f>
        <v>2.1167</v>
      </c>
      <c r="L110" s="2" t="n">
        <f aca="false">ROUND(K110*60,0)</f>
        <v>127</v>
      </c>
      <c r="M110" s="22" t="n">
        <f aca="false">INDEX('Recurring Budgets'!$M$2:$M$125,MATCH(P110,'Recurring Budgets'!$A$2:$A$125,0))</f>
        <v>309.5865</v>
      </c>
      <c r="N110" s="8" t="str">
        <f aca="false">INDEX('Recurring Budgets'!$P$2:$P$125,MATCH(P110,'Recurring Budgets'!$A$2:$A$125,0))</f>
        <v>High</v>
      </c>
      <c r="O110" s="8" t="str">
        <f aca="false">INDEX('Recurring Budgets'!$Q$2:$Q$125,MATCH(P110,'Recurring Budgets'!$A$2:$A$125,0))</f>
        <v>Includes Month-end 0.8, Payroll 0.4. Review = median of 6 closes reviewed in Harvest (0.70h).</v>
      </c>
      <c r="P110" s="2" t="s">
        <v>381</v>
      </c>
    </row>
    <row r="111" customFormat="false" ht="15" hidden="false" customHeight="false" outlineLevel="0" collapsed="false">
      <c r="A111" s="2" t="s">
        <v>61</v>
      </c>
      <c r="B111" s="2" t="s">
        <v>473</v>
      </c>
      <c r="C111" s="2" t="s">
        <v>231</v>
      </c>
      <c r="D111" s="31" t="n">
        <v>46296</v>
      </c>
      <c r="E111" s="2" t="s">
        <v>482</v>
      </c>
      <c r="F111" s="2" t="s">
        <v>484</v>
      </c>
      <c r="G111" s="2" t="s">
        <v>15</v>
      </c>
      <c r="H111" s="2" t="s">
        <v>476</v>
      </c>
      <c r="I111" s="16" t="n">
        <f aca="false">INDEX('Recurring Budgets'!$F$2:$F$125,MATCH(P111,'Recurring Budgets'!$A$2:$A$125,0))</f>
        <v>5.75</v>
      </c>
      <c r="J111" s="16" t="n">
        <f aca="false">INDEX('Recurring Budgets'!$G$2:$G$125,MATCH(P111,'Recurring Budgets'!$A$2:$A$125,0))</f>
        <v>0.7</v>
      </c>
      <c r="K111" s="21" t="n">
        <f aca="false">I111+J111</f>
        <v>6.45</v>
      </c>
      <c r="L111" s="2" t="n">
        <f aca="false">ROUND(K111*60,0)</f>
        <v>387</v>
      </c>
      <c r="M111" s="22" t="n">
        <f aca="false">INDEX('Recurring Budgets'!$M$2:$M$125,MATCH(P111,'Recurring Budgets'!$A$2:$A$125,0))</f>
        <v>721.25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 Review = median of 7 closes reviewed in Harvest (0.70h).</v>
      </c>
      <c r="P111" s="2" t="s">
        <v>388</v>
      </c>
    </row>
    <row r="112" customFormat="false" ht="15" hidden="false" customHeight="false" outlineLevel="0" collapsed="false">
      <c r="A112" s="2" t="s">
        <v>61</v>
      </c>
      <c r="B112" s="2" t="s">
        <v>62</v>
      </c>
      <c r="C112" s="2" t="s">
        <v>231</v>
      </c>
      <c r="D112" s="31" t="n">
        <v>46297</v>
      </c>
      <c r="E112" s="2" t="s">
        <v>482</v>
      </c>
      <c r="F112" s="2" t="s">
        <v>493</v>
      </c>
      <c r="G112" s="2" t="s">
        <v>15</v>
      </c>
      <c r="H112" s="2" t="s">
        <v>476</v>
      </c>
      <c r="I112" s="16" t="n">
        <f aca="false">INDEX('Recurring Budgets'!$F$2:$F$125,MATCH(P112,'Recurring Budgets'!$A$2:$A$125,0))</f>
        <v>0.5</v>
      </c>
      <c r="J112" s="16" t="n">
        <f aca="false">INDEX('Recurring Budgets'!$G$2:$G$125,MATCH(P112,'Recurring Budgets'!$A$2:$A$125,0))</f>
        <v>0</v>
      </c>
      <c r="K112" s="21" t="n">
        <f aca="false">I112+J112</f>
        <v>0.5</v>
      </c>
      <c r="L112" s="2" t="n">
        <f aca="false">ROUND(K112*60,0)</f>
        <v>30</v>
      </c>
      <c r="M112" s="22" t="n">
        <f aca="false">INDEX('Recurring Budgets'!$M$2:$M$125,MATCH(P112,'Recurring Budgets'!$A$2:$A$125,0))</f>
        <v>47.5</v>
      </c>
      <c r="N112" s="8" t="str">
        <f aca="false">INDEX('Recurring Budgets'!$P$2:$P$125,MATCH(P112,'Recurring Budgets'!$A$2:$A$125,0))</f>
        <v>High</v>
      </c>
      <c r="O112" s="8" t="str">
        <f aca="false">INDEX('Recurring Budgets'!$Q$2:$Q$125,MATCH(P112,'Recurring Budgets'!$A$2:$A$125,0))</f>
        <v>Collecting monthly reports/statements (close prep). Taken out of the month-end budget.</v>
      </c>
      <c r="P112" s="2" t="s">
        <v>390</v>
      </c>
    </row>
    <row r="113" customFormat="false" ht="15" hidden="false" customHeight="false" outlineLevel="0" collapsed="false">
      <c r="A113" s="2" t="s">
        <v>61</v>
      </c>
      <c r="B113" s="2" t="s">
        <v>96</v>
      </c>
      <c r="C113" s="2" t="s">
        <v>161</v>
      </c>
      <c r="D113" s="31" t="n">
        <v>46325</v>
      </c>
      <c r="E113" s="2" t="s">
        <v>477</v>
      </c>
      <c r="F113" s="2" t="s">
        <v>478</v>
      </c>
      <c r="G113" s="2" t="s">
        <v>161</v>
      </c>
      <c r="H113" s="2" t="s">
        <v>479</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480</v>
      </c>
      <c r="P113" s="2" t="s">
        <v>61</v>
      </c>
    </row>
    <row r="114" customFormat="false" ht="15" hidden="false" customHeight="false" outlineLevel="0" collapsed="false">
      <c r="A114" s="2" t="s">
        <v>61</v>
      </c>
      <c r="B114" s="2" t="s">
        <v>490</v>
      </c>
      <c r="C114" s="2" t="s">
        <v>271</v>
      </c>
      <c r="D114" s="31" t="n">
        <v>46325</v>
      </c>
      <c r="E114" s="2" t="s">
        <v>482</v>
      </c>
      <c r="F114" s="2" t="s">
        <v>475</v>
      </c>
      <c r="G114" s="2" t="s">
        <v>21</v>
      </c>
      <c r="H114" s="2" t="s">
        <v>476</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386</v>
      </c>
    </row>
    <row r="115" customFormat="false" ht="15" hidden="false" customHeight="false" outlineLevel="0" collapsed="false">
      <c r="A115" s="2" t="s">
        <v>61</v>
      </c>
      <c r="B115" s="2" t="s">
        <v>481</v>
      </c>
      <c r="C115" s="2" t="s">
        <v>231</v>
      </c>
      <c r="D115" s="31" t="n">
        <v>46325</v>
      </c>
      <c r="E115" s="2" t="s">
        <v>482</v>
      </c>
      <c r="F115" s="2" t="s">
        <v>484</v>
      </c>
      <c r="G115" s="2" t="s">
        <v>15</v>
      </c>
      <c r="H115" s="2" t="s">
        <v>476</v>
      </c>
      <c r="I115" s="16" t="n">
        <f aca="false">INDEX('Recurring Budgets'!$F$2:$F$125,MATCH(P115,'Recurring Budgets'!$A$2:$A$125,0))</f>
        <v>5.75</v>
      </c>
      <c r="J115" s="16" t="n">
        <f aca="false">INDEX('Recurring Budgets'!$G$2:$G$125,MATCH(P115,'Recurring Budgets'!$A$2:$A$125,0))</f>
        <v>0.7</v>
      </c>
      <c r="K115" s="21" t="n">
        <f aca="false">I115+J115</f>
        <v>6.45</v>
      </c>
      <c r="L115" s="2" t="n">
        <f aca="false">ROUND(K115*60,0)</f>
        <v>387</v>
      </c>
      <c r="M115" s="22" t="n">
        <f aca="false">INDEX('Recurring Budgets'!$M$2:$M$125,MATCH(P115,'Recurring Budgets'!$A$2:$A$125,0))</f>
        <v>721.25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 Review = median of 7 closes reviewed in Harvest (0.70h).</v>
      </c>
      <c r="P115" s="2" t="s">
        <v>388</v>
      </c>
    </row>
    <row r="116" customFormat="false" ht="15" hidden="false" customHeight="false" outlineLevel="0" collapsed="false">
      <c r="A116" s="2" t="s">
        <v>63</v>
      </c>
      <c r="B116" s="2" t="s">
        <v>490</v>
      </c>
      <c r="C116" s="2" t="s">
        <v>271</v>
      </c>
      <c r="D116" s="31" t="n">
        <v>46325</v>
      </c>
      <c r="E116" s="2" t="s">
        <v>474</v>
      </c>
      <c r="F116" s="2" t="s">
        <v>475</v>
      </c>
      <c r="G116" s="2" t="s">
        <v>21</v>
      </c>
      <c r="H116" s="2" t="s">
        <v>476</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392</v>
      </c>
    </row>
    <row r="117" customFormat="false" ht="15" hidden="false" customHeight="false" outlineLevel="0" collapsed="false">
      <c r="A117" s="2" t="s">
        <v>63</v>
      </c>
      <c r="B117" s="2" t="s">
        <v>483</v>
      </c>
      <c r="C117" s="2" t="s">
        <v>237</v>
      </c>
      <c r="D117" s="31" t="n">
        <v>46325</v>
      </c>
      <c r="E117" s="2" t="s">
        <v>482</v>
      </c>
      <c r="F117" s="2" t="s">
        <v>484</v>
      </c>
      <c r="G117" s="2" t="s">
        <v>13</v>
      </c>
      <c r="H117" s="2" t="s">
        <v>476</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 Review = 1.00h as logged (only 2 reviewed close(s) in Harvest – check).</v>
      </c>
      <c r="P117" s="2" t="s">
        <v>394</v>
      </c>
    </row>
    <row r="118" customFormat="false" ht="15" hidden="false" customHeight="false" outlineLevel="0" collapsed="false">
      <c r="A118" s="2" t="s">
        <v>64</v>
      </c>
      <c r="B118" s="2" t="s">
        <v>103</v>
      </c>
      <c r="C118" s="2" t="s">
        <v>491</v>
      </c>
      <c r="D118" s="31" t="n">
        <v>46295</v>
      </c>
      <c r="E118" s="2" t="s">
        <v>492</v>
      </c>
      <c r="F118" s="2" t="s">
        <v>493</v>
      </c>
      <c r="G118" s="2" t="s">
        <v>90</v>
      </c>
      <c r="H118" s="2" t="s">
        <v>494</v>
      </c>
      <c r="I118" s="15" t="n">
        <v>5.5</v>
      </c>
      <c r="J118" s="15" t="n">
        <v>0</v>
      </c>
      <c r="K118" s="21" t="n">
        <f aca="false">I118+J118</f>
        <v>5.5</v>
      </c>
      <c r="L118" s="2" t="n">
        <f aca="false">ROUND(K118*60,0)</f>
        <v>330</v>
      </c>
      <c r="M118" s="22" t="n">
        <f aca="false">I118*Assumptions!$B$4+J118*Assumptions!$B$5</f>
        <v>522.5</v>
      </c>
      <c r="N118" s="23" t="s">
        <v>227</v>
      </c>
      <c r="O118" s="2" t="s">
        <v>527</v>
      </c>
      <c r="P118" s="2"/>
    </row>
    <row r="119" customFormat="false" ht="15" hidden="false" customHeight="false" outlineLevel="0" collapsed="false">
      <c r="A119" s="2" t="s">
        <v>64</v>
      </c>
      <c r="B119" s="2" t="s">
        <v>511</v>
      </c>
      <c r="C119" s="2" t="s">
        <v>276</v>
      </c>
      <c r="D119" s="31" t="n">
        <v>46295</v>
      </c>
      <c r="E119" s="2" t="s">
        <v>514</v>
      </c>
      <c r="F119" s="2" t="s">
        <v>484</v>
      </c>
      <c r="G119" s="2" t="s">
        <v>30</v>
      </c>
      <c r="H119" s="2" t="s">
        <v>476</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398</v>
      </c>
    </row>
    <row r="120" customFormat="false" ht="15" hidden="false" customHeight="false" outlineLevel="0" collapsed="false">
      <c r="A120" s="2" t="s">
        <v>64</v>
      </c>
      <c r="B120" s="2" t="s">
        <v>528</v>
      </c>
      <c r="C120" s="2" t="s">
        <v>276</v>
      </c>
      <c r="D120" s="31" t="n">
        <v>46296</v>
      </c>
      <c r="E120" s="2" t="s">
        <v>514</v>
      </c>
      <c r="F120" s="2" t="s">
        <v>493</v>
      </c>
      <c r="G120" s="2" t="s">
        <v>66</v>
      </c>
      <c r="H120" s="2" t="s">
        <v>476</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396</v>
      </c>
    </row>
    <row r="121" customFormat="false" ht="15" hidden="false" customHeight="false" outlineLevel="0" collapsed="false">
      <c r="A121" s="2" t="s">
        <v>64</v>
      </c>
      <c r="B121" s="2" t="s">
        <v>529</v>
      </c>
      <c r="C121" s="2" t="s">
        <v>276</v>
      </c>
      <c r="D121" s="31" t="n">
        <v>46297</v>
      </c>
      <c r="E121" s="2" t="s">
        <v>514</v>
      </c>
      <c r="F121" s="2" t="s">
        <v>478</v>
      </c>
      <c r="G121" s="2" t="s">
        <v>66</v>
      </c>
      <c r="H121" s="2" t="s">
        <v>476</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396</v>
      </c>
    </row>
    <row r="122" customFormat="false" ht="15" hidden="false" customHeight="false" outlineLevel="0" collapsed="false">
      <c r="A122" s="2" t="s">
        <v>64</v>
      </c>
      <c r="B122" s="2" t="s">
        <v>530</v>
      </c>
      <c r="C122" s="2" t="s">
        <v>276</v>
      </c>
      <c r="D122" s="31" t="n">
        <v>46300</v>
      </c>
      <c r="E122" s="2" t="s">
        <v>514</v>
      </c>
      <c r="F122" s="2" t="s">
        <v>478</v>
      </c>
      <c r="G122" s="2" t="s">
        <v>30</v>
      </c>
      <c r="H122" s="2" t="s">
        <v>476</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400</v>
      </c>
    </row>
    <row r="123" customFormat="false" ht="15" hidden="false" customHeight="false" outlineLevel="0" collapsed="false">
      <c r="A123" s="2" t="s">
        <v>64</v>
      </c>
      <c r="B123" s="2" t="s">
        <v>512</v>
      </c>
      <c r="C123" s="2" t="s">
        <v>276</v>
      </c>
      <c r="D123" s="31" t="n">
        <v>46302</v>
      </c>
      <c r="E123" s="2" t="s">
        <v>514</v>
      </c>
      <c r="F123" s="2" t="s">
        <v>478</v>
      </c>
      <c r="G123" s="2" t="s">
        <v>30</v>
      </c>
      <c r="H123" s="2" t="s">
        <v>476</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398</v>
      </c>
    </row>
    <row r="124" customFormat="false" ht="15" hidden="false" customHeight="false" outlineLevel="0" collapsed="false">
      <c r="A124" s="2" t="s">
        <v>68</v>
      </c>
      <c r="B124" s="2" t="s">
        <v>104</v>
      </c>
      <c r="C124" s="2" t="s">
        <v>491</v>
      </c>
      <c r="D124" s="31" t="n">
        <v>46265</v>
      </c>
      <c r="E124" s="2" t="s">
        <v>474</v>
      </c>
      <c r="F124" s="2" t="s">
        <v>500</v>
      </c>
      <c r="G124" s="2" t="s">
        <v>90</v>
      </c>
      <c r="H124" s="2" t="s">
        <v>494</v>
      </c>
      <c r="I124" s="15" t="n">
        <v>4</v>
      </c>
      <c r="J124" s="15" t="n">
        <v>0</v>
      </c>
      <c r="K124" s="21" t="n">
        <f aca="false">I124+J124</f>
        <v>4</v>
      </c>
      <c r="L124" s="2" t="n">
        <f aca="false">ROUND(K124*60,0)</f>
        <v>240</v>
      </c>
      <c r="M124" s="22" t="n">
        <f aca="false">I124*Assumptions!$B$4+J124*Assumptions!$B$5</f>
        <v>380</v>
      </c>
      <c r="N124" s="23" t="s">
        <v>227</v>
      </c>
      <c r="O124" s="2" t="s">
        <v>531</v>
      </c>
      <c r="P124" s="2"/>
    </row>
    <row r="125" customFormat="false" ht="15" hidden="false" customHeight="false" outlineLevel="0" collapsed="false">
      <c r="A125" s="2" t="s">
        <v>68</v>
      </c>
      <c r="B125" s="2" t="s">
        <v>481</v>
      </c>
      <c r="C125" s="2" t="s">
        <v>231</v>
      </c>
      <c r="D125" s="31" t="n">
        <v>46316</v>
      </c>
      <c r="E125" s="2" t="s">
        <v>482</v>
      </c>
      <c r="F125" s="2" t="s">
        <v>484</v>
      </c>
      <c r="G125" s="2" t="s">
        <v>15</v>
      </c>
      <c r="H125" s="2" t="s">
        <v>476</v>
      </c>
      <c r="I125" s="16" t="n">
        <f aca="false">INDEX('Recurring Budgets'!$F$2:$F$125,MATCH(P125,'Recurring Budgets'!$A$2:$A$125,0))</f>
        <v>1.8333</v>
      </c>
      <c r="J125" s="16" t="n">
        <f aca="false">INDEX('Recurring Budgets'!$G$2:$G$125,MATCH(P125,'Recurring Budgets'!$A$2:$A$125,0))</f>
        <v>1</v>
      </c>
      <c r="K125" s="21" t="n">
        <f aca="false">I125+J125</f>
        <v>2.8333</v>
      </c>
      <c r="L125" s="2" t="n">
        <f aca="false">ROUND(K125*60,0)</f>
        <v>170</v>
      </c>
      <c r="M125" s="22" t="n">
        <f aca="false">INDEX('Recurring Budgets'!$M$2:$M$125,MATCH(P125,'Recurring Budgets'!$A$2:$A$125,0))</f>
        <v>424.1635</v>
      </c>
      <c r="N125" s="8" t="str">
        <f aca="false">INDEX('Recurring Budgets'!$P$2:$P$125,MATCH(P125,'Recurring Budgets'!$A$2:$A$125,0))</f>
        <v>High</v>
      </c>
      <c r="O125" s="8" t="str">
        <f aca="false">INDEX('Recurring Budgets'!$Q$2:$Q$125,MATCH(P125,'Recurring Budgets'!$A$2:$A$125,0))</f>
        <v>Includes Month-end 1.3, Payroll 1.1, CFO advisory 0.1. Review = median of 5 closes reviewed in Harvest (1.00h).</v>
      </c>
      <c r="P125" s="2" t="s">
        <v>403</v>
      </c>
    </row>
    <row r="126" customFormat="false" ht="15" hidden="false" customHeight="false" outlineLevel="0" collapsed="false">
      <c r="A126" s="2" t="s">
        <v>68</v>
      </c>
      <c r="B126" s="2" t="s">
        <v>96</v>
      </c>
      <c r="C126" s="2" t="s">
        <v>161</v>
      </c>
      <c r="D126" s="31" t="n">
        <v>46325</v>
      </c>
      <c r="E126" s="2" t="s">
        <v>477</v>
      </c>
      <c r="F126" s="2" t="s">
        <v>478</v>
      </c>
      <c r="G126" s="2" t="s">
        <v>161</v>
      </c>
      <c r="H126" s="2" t="s">
        <v>479</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480</v>
      </c>
      <c r="P126" s="2" t="s">
        <v>68</v>
      </c>
    </row>
    <row r="127" customFormat="false" ht="15" hidden="false" customHeight="false" outlineLevel="0" collapsed="false">
      <c r="A127" s="2" t="s">
        <v>69</v>
      </c>
      <c r="B127" s="2" t="s">
        <v>486</v>
      </c>
      <c r="C127" s="2" t="s">
        <v>243</v>
      </c>
      <c r="D127" s="31" t="n">
        <v>46265</v>
      </c>
      <c r="E127" s="2" t="s">
        <v>487</v>
      </c>
      <c r="F127" s="2" t="s">
        <v>500</v>
      </c>
      <c r="G127" s="2" t="s">
        <v>21</v>
      </c>
      <c r="H127" s="2" t="s">
        <v>476</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407</v>
      </c>
    </row>
    <row r="128" customFormat="false" ht="15" hidden="false" customHeight="false" outlineLevel="0" collapsed="false">
      <c r="A128" s="2" t="s">
        <v>69</v>
      </c>
      <c r="B128" s="2" t="s">
        <v>532</v>
      </c>
      <c r="C128" s="2" t="s">
        <v>240</v>
      </c>
      <c r="D128" s="31" t="n">
        <v>46314</v>
      </c>
      <c r="E128" s="2" t="s">
        <v>492</v>
      </c>
      <c r="F128" s="2" t="s">
        <v>484</v>
      </c>
      <c r="G128" s="2" t="s">
        <v>15</v>
      </c>
      <c r="H128" s="2" t="s">
        <v>476</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411</v>
      </c>
    </row>
    <row r="129" customFormat="false" ht="15" hidden="false" customHeight="false" outlineLevel="0" collapsed="false">
      <c r="A129" s="2" t="s">
        <v>69</v>
      </c>
      <c r="B129" s="2" t="s">
        <v>481</v>
      </c>
      <c r="C129" s="2" t="s">
        <v>231</v>
      </c>
      <c r="D129" s="31" t="n">
        <v>46321</v>
      </c>
      <c r="E129" s="2" t="s">
        <v>492</v>
      </c>
      <c r="F129" s="2" t="s">
        <v>484</v>
      </c>
      <c r="G129" s="2" t="s">
        <v>15</v>
      </c>
      <c r="H129" s="2" t="s">
        <v>476</v>
      </c>
      <c r="I129" s="16" t="n">
        <f aca="false">INDEX('Recurring Budgets'!$F$2:$F$125,MATCH(P129,'Recurring Budgets'!$A$2:$A$125,0))</f>
        <v>1</v>
      </c>
      <c r="J129" s="16" t="n">
        <f aca="false">INDEX('Recurring Budgets'!$G$2:$G$125,MATCH(P129,'Recurring Budgets'!$A$2:$A$125,0))</f>
        <v>0.5</v>
      </c>
      <c r="K129" s="21" t="n">
        <f aca="false">I129+J129</f>
        <v>1.5</v>
      </c>
      <c r="L129" s="2" t="n">
        <f aca="false">ROUND(K129*60,0)</f>
        <v>90</v>
      </c>
      <c r="M129" s="22" t="n">
        <f aca="false">INDEX('Recurring Budgets'!$M$2:$M$125,MATCH(P129,'Recurring Budgets'!$A$2:$A$125,0))</f>
        <v>220</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409</v>
      </c>
    </row>
    <row r="130" customFormat="false" ht="15" hidden="false" customHeight="false" outlineLevel="0" collapsed="false">
      <c r="A130" s="2" t="s">
        <v>69</v>
      </c>
      <c r="B130" s="2" t="s">
        <v>96</v>
      </c>
      <c r="C130" s="2" t="s">
        <v>161</v>
      </c>
      <c r="D130" s="31" t="n">
        <v>46325</v>
      </c>
      <c r="E130" s="2" t="s">
        <v>477</v>
      </c>
      <c r="F130" s="2" t="s">
        <v>478</v>
      </c>
      <c r="G130" s="2" t="s">
        <v>161</v>
      </c>
      <c r="H130" s="2" t="s">
        <v>479</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480</v>
      </c>
      <c r="P130" s="2" t="s">
        <v>69</v>
      </c>
    </row>
    <row r="131" customFormat="false" ht="15" hidden="false" customHeight="false" outlineLevel="0" collapsed="false">
      <c r="A131" s="2" t="s">
        <v>69</v>
      </c>
      <c r="B131" s="2" t="s">
        <v>108</v>
      </c>
      <c r="C131" s="2" t="s">
        <v>231</v>
      </c>
      <c r="D131" s="31" t="n">
        <v>46326</v>
      </c>
      <c r="E131" s="2" t="s">
        <v>492</v>
      </c>
      <c r="F131" s="2" t="s">
        <v>493</v>
      </c>
      <c r="G131" s="2" t="s">
        <v>15</v>
      </c>
      <c r="H131" s="2" t="s">
        <v>476</v>
      </c>
      <c r="I131" s="16" t="n">
        <f aca="false">INDEX('Recurring Budgets'!$F$2:$F$125,MATCH(P131,'Recurring Budgets'!$A$2:$A$125,0))</f>
        <v>1</v>
      </c>
      <c r="J131" s="16" t="n">
        <f aca="false">INDEX('Recurring Budgets'!$G$2:$G$125,MATCH(P131,'Recurring Budgets'!$A$2:$A$125,0))</f>
        <v>0.5</v>
      </c>
      <c r="K131" s="21" t="n">
        <f aca="false">I131+J131</f>
        <v>1.5</v>
      </c>
      <c r="L131" s="2" t="n">
        <f aca="false">ROUND(K131*60,0)</f>
        <v>90</v>
      </c>
      <c r="M131" s="22" t="n">
        <f aca="false">INDEX('Recurring Budgets'!$M$2:$M$125,MATCH(P131,'Recurring Budgets'!$A$2:$A$125,0))</f>
        <v>220</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409</v>
      </c>
    </row>
    <row r="132" customFormat="false" ht="15" hidden="false" customHeight="false" outlineLevel="0" collapsed="false">
      <c r="A132" s="2" t="s">
        <v>69</v>
      </c>
      <c r="B132" s="2" t="s">
        <v>473</v>
      </c>
      <c r="C132" s="2" t="s">
        <v>231</v>
      </c>
      <c r="D132" s="31" t="n">
        <v>46326</v>
      </c>
      <c r="E132" s="2" t="s">
        <v>492</v>
      </c>
      <c r="F132" s="2" t="s">
        <v>493</v>
      </c>
      <c r="G132" s="2" t="s">
        <v>15</v>
      </c>
      <c r="H132" s="2" t="s">
        <v>476</v>
      </c>
      <c r="I132" s="16" t="n">
        <f aca="false">INDEX('Recurring Budgets'!$F$2:$F$125,MATCH(P132,'Recurring Budgets'!$A$2:$A$125,0))</f>
        <v>1</v>
      </c>
      <c r="J132" s="16" t="n">
        <f aca="false">INDEX('Recurring Budgets'!$G$2:$G$125,MATCH(P132,'Recurring Budgets'!$A$2:$A$125,0))</f>
        <v>0.5</v>
      </c>
      <c r="K132" s="21" t="n">
        <f aca="false">I132+J132</f>
        <v>1.5</v>
      </c>
      <c r="L132" s="2" t="n">
        <f aca="false">ROUND(K132*60,0)</f>
        <v>90</v>
      </c>
      <c r="M132" s="22" t="n">
        <f aca="false">INDEX('Recurring Budgets'!$M$2:$M$125,MATCH(P132,'Recurring Budgets'!$A$2:$A$125,0))</f>
        <v>220</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409</v>
      </c>
    </row>
    <row r="133" customFormat="false" ht="15" hidden="false" customHeight="false" outlineLevel="0" collapsed="false">
      <c r="A133" s="2" t="s">
        <v>69</v>
      </c>
      <c r="B133" s="2" t="s">
        <v>105</v>
      </c>
      <c r="C133" s="2" t="s">
        <v>231</v>
      </c>
      <c r="D133" s="31" t="n">
        <v>46326</v>
      </c>
      <c r="E133" s="2" t="s">
        <v>492</v>
      </c>
      <c r="F133" s="2" t="s">
        <v>493</v>
      </c>
      <c r="G133" s="2" t="s">
        <v>15</v>
      </c>
      <c r="H133" s="2" t="s">
        <v>476</v>
      </c>
      <c r="I133" s="16" t="n">
        <f aca="false">INDEX('Recurring Budgets'!$F$2:$F$125,MATCH(P133,'Recurring Budgets'!$A$2:$A$125,0))</f>
        <v>1</v>
      </c>
      <c r="J133" s="16" t="n">
        <f aca="false">INDEX('Recurring Budgets'!$G$2:$G$125,MATCH(P133,'Recurring Budgets'!$A$2:$A$125,0))</f>
        <v>0.5</v>
      </c>
      <c r="K133" s="21" t="n">
        <f aca="false">I133+J133</f>
        <v>1.5</v>
      </c>
      <c r="L133" s="2" t="n">
        <f aca="false">ROUND(K133*60,0)</f>
        <v>90</v>
      </c>
      <c r="M133" s="22" t="n">
        <f aca="false">INDEX('Recurring Budgets'!$M$2:$M$125,MATCH(P133,'Recurring Budgets'!$A$2:$A$125,0))</f>
        <v>220</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409</v>
      </c>
    </row>
    <row r="134" customFormat="false" ht="15" hidden="false" customHeight="false" outlineLevel="0" collapsed="false">
      <c r="A134" s="2" t="s">
        <v>69</v>
      </c>
      <c r="B134" s="2" t="s">
        <v>106</v>
      </c>
      <c r="C134" s="2" t="s">
        <v>231</v>
      </c>
      <c r="D134" s="31" t="n">
        <v>46326</v>
      </c>
      <c r="E134" s="2" t="s">
        <v>492</v>
      </c>
      <c r="F134" s="2" t="s">
        <v>484</v>
      </c>
      <c r="G134" s="2" t="s">
        <v>15</v>
      </c>
      <c r="H134" s="2" t="s">
        <v>476</v>
      </c>
      <c r="I134" s="16" t="n">
        <f aca="false">INDEX('Recurring Budgets'!$F$2:$F$125,MATCH(P134,'Recurring Budgets'!$A$2:$A$125,0))</f>
        <v>1</v>
      </c>
      <c r="J134" s="16" t="n">
        <f aca="false">INDEX('Recurring Budgets'!$G$2:$G$125,MATCH(P134,'Recurring Budgets'!$A$2:$A$125,0))</f>
        <v>0.5</v>
      </c>
      <c r="K134" s="21" t="n">
        <f aca="false">I134+J134</f>
        <v>1.5</v>
      </c>
      <c r="L134" s="2" t="n">
        <f aca="false">ROUND(K134*60,0)</f>
        <v>90</v>
      </c>
      <c r="M134" s="22" t="n">
        <f aca="false">INDEX('Recurring Budgets'!$M$2:$M$125,MATCH(P134,'Recurring Budgets'!$A$2:$A$125,0))</f>
        <v>220</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409</v>
      </c>
    </row>
    <row r="135" customFormat="false" ht="15" hidden="false" customHeight="false" outlineLevel="0" collapsed="false">
      <c r="A135" s="2" t="s">
        <v>69</v>
      </c>
      <c r="B135" s="2" t="s">
        <v>109</v>
      </c>
      <c r="C135" s="2" t="s">
        <v>231</v>
      </c>
      <c r="D135" s="31" t="n">
        <v>46326</v>
      </c>
      <c r="E135" s="2" t="s">
        <v>492</v>
      </c>
      <c r="F135" s="2" t="s">
        <v>493</v>
      </c>
      <c r="G135" s="2" t="s">
        <v>15</v>
      </c>
      <c r="H135" s="2" t="s">
        <v>476</v>
      </c>
      <c r="I135" s="16" t="n">
        <f aca="false">INDEX('Recurring Budgets'!$F$2:$F$125,MATCH(P135,'Recurring Budgets'!$A$2:$A$125,0))</f>
        <v>1</v>
      </c>
      <c r="J135" s="16" t="n">
        <f aca="false">INDEX('Recurring Budgets'!$G$2:$G$125,MATCH(P135,'Recurring Budgets'!$A$2:$A$125,0))</f>
        <v>0.5</v>
      </c>
      <c r="K135" s="21" t="n">
        <f aca="false">I135+J135</f>
        <v>1.5</v>
      </c>
      <c r="L135" s="2" t="n">
        <f aca="false">ROUND(K135*60,0)</f>
        <v>90</v>
      </c>
      <c r="M135" s="22" t="n">
        <f aca="false">INDEX('Recurring Budgets'!$M$2:$M$125,MATCH(P135,'Recurring Budgets'!$A$2:$A$125,0))</f>
        <v>220</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409</v>
      </c>
    </row>
    <row r="136" customFormat="false" ht="15" hidden="false" customHeight="false" outlineLevel="0" collapsed="false">
      <c r="A136" s="2" t="s">
        <v>69</v>
      </c>
      <c r="B136" s="2" t="s">
        <v>110</v>
      </c>
      <c r="C136" s="2" t="s">
        <v>231</v>
      </c>
      <c r="D136" s="31" t="n">
        <v>46326</v>
      </c>
      <c r="E136" s="2" t="s">
        <v>492</v>
      </c>
      <c r="F136" s="2" t="s">
        <v>493</v>
      </c>
      <c r="G136" s="2" t="s">
        <v>15</v>
      </c>
      <c r="H136" s="2" t="s">
        <v>476</v>
      </c>
      <c r="I136" s="16" t="n">
        <f aca="false">INDEX('Recurring Budgets'!$F$2:$F$125,MATCH(P136,'Recurring Budgets'!$A$2:$A$125,0))</f>
        <v>1</v>
      </c>
      <c r="J136" s="16" t="n">
        <f aca="false">INDEX('Recurring Budgets'!$G$2:$G$125,MATCH(P136,'Recurring Budgets'!$A$2:$A$125,0))</f>
        <v>0.5</v>
      </c>
      <c r="K136" s="21" t="n">
        <f aca="false">I136+J136</f>
        <v>1.5</v>
      </c>
      <c r="L136" s="2" t="n">
        <f aca="false">ROUND(K136*60,0)</f>
        <v>90</v>
      </c>
      <c r="M136" s="22" t="n">
        <f aca="false">INDEX('Recurring Budgets'!$M$2:$M$125,MATCH(P136,'Recurring Budgets'!$A$2:$A$125,0))</f>
        <v>220</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409</v>
      </c>
    </row>
    <row r="137" customFormat="false" ht="15" hidden="false" customHeight="false" outlineLevel="0" collapsed="false">
      <c r="A137" s="2" t="s">
        <v>69</v>
      </c>
      <c r="B137" s="2" t="s">
        <v>107</v>
      </c>
      <c r="C137" s="2" t="s">
        <v>231</v>
      </c>
      <c r="D137" s="31" t="n">
        <v>46326</v>
      </c>
      <c r="E137" s="2" t="s">
        <v>492</v>
      </c>
      <c r="F137" s="2" t="s">
        <v>493</v>
      </c>
      <c r="G137" s="2" t="s">
        <v>15</v>
      </c>
      <c r="H137" s="2" t="s">
        <v>476</v>
      </c>
      <c r="I137" s="16" t="n">
        <f aca="false">INDEX('Recurring Budgets'!$F$2:$F$125,MATCH(P137,'Recurring Budgets'!$A$2:$A$125,0))</f>
        <v>1</v>
      </c>
      <c r="J137" s="16" t="n">
        <f aca="false">INDEX('Recurring Budgets'!$G$2:$G$125,MATCH(P137,'Recurring Budgets'!$A$2:$A$125,0))</f>
        <v>0.5</v>
      </c>
      <c r="K137" s="21" t="n">
        <f aca="false">I137+J137</f>
        <v>1.5</v>
      </c>
      <c r="L137" s="2" t="n">
        <f aca="false">ROUND(K137*60,0)</f>
        <v>90</v>
      </c>
      <c r="M137" s="22" t="n">
        <f aca="false">INDEX('Recurring Budgets'!$M$2:$M$125,MATCH(P137,'Recurring Budgets'!$A$2:$A$125,0))</f>
        <v>220</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409</v>
      </c>
    </row>
    <row r="138" customFormat="false" ht="15" hidden="false" customHeight="false" outlineLevel="0" collapsed="false">
      <c r="A138" s="2" t="s">
        <v>69</v>
      </c>
      <c r="B138" s="2" t="s">
        <v>111</v>
      </c>
      <c r="C138" s="2" t="s">
        <v>231</v>
      </c>
      <c r="D138" s="31" t="n">
        <v>46326</v>
      </c>
      <c r="E138" s="2" t="s">
        <v>492</v>
      </c>
      <c r="F138" s="2" t="s">
        <v>484</v>
      </c>
      <c r="G138" s="2" t="s">
        <v>15</v>
      </c>
      <c r="H138" s="2" t="s">
        <v>476</v>
      </c>
      <c r="I138" s="16" t="n">
        <f aca="false">INDEX('Recurring Budgets'!$F$2:$F$125,MATCH(P138,'Recurring Budgets'!$A$2:$A$125,0))</f>
        <v>1</v>
      </c>
      <c r="J138" s="16" t="n">
        <f aca="false">INDEX('Recurring Budgets'!$G$2:$G$125,MATCH(P138,'Recurring Budgets'!$A$2:$A$125,0))</f>
        <v>0.5</v>
      </c>
      <c r="K138" s="21" t="n">
        <f aca="false">I138+J138</f>
        <v>1.5</v>
      </c>
      <c r="L138" s="2" t="n">
        <f aca="false">ROUND(K138*60,0)</f>
        <v>90</v>
      </c>
      <c r="M138" s="22" t="n">
        <f aca="false">INDEX('Recurring Budgets'!$M$2:$M$125,MATCH(P138,'Recurring Budgets'!$A$2:$A$125,0))</f>
        <v>220</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409</v>
      </c>
    </row>
    <row r="139" customFormat="false" ht="15" hidden="false" customHeight="false" outlineLevel="0" collapsed="false">
      <c r="A139" s="2" t="s">
        <v>70</v>
      </c>
      <c r="B139" s="2" t="s">
        <v>473</v>
      </c>
      <c r="C139" s="2" t="s">
        <v>231</v>
      </c>
      <c r="D139" s="31" t="n">
        <v>46297</v>
      </c>
      <c r="E139" s="2" t="s">
        <v>487</v>
      </c>
      <c r="F139" s="2" t="s">
        <v>493</v>
      </c>
      <c r="G139" s="2" t="s">
        <v>15</v>
      </c>
      <c r="H139" s="2" t="s">
        <v>476</v>
      </c>
      <c r="I139" s="16" t="n">
        <f aca="false">INDEX('Recurring Budgets'!$F$2:$F$125,MATCH(P139,'Recurring Budgets'!$A$2:$A$125,0))</f>
        <v>7</v>
      </c>
      <c r="J139" s="16" t="n">
        <f aca="false">INDEX('Recurring Budgets'!$G$2:$G$125,MATCH(P139,'Recurring Budgets'!$A$2:$A$125,0))</f>
        <v>1</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 Review = median of 7 closes reviewed in Harvest (1.00h).</v>
      </c>
      <c r="P139" s="2" t="s">
        <v>416</v>
      </c>
    </row>
    <row r="140" customFormat="false" ht="15" hidden="false" customHeight="false" outlineLevel="0" collapsed="false">
      <c r="A140" s="2" t="s">
        <v>70</v>
      </c>
      <c r="B140" s="2" t="s">
        <v>481</v>
      </c>
      <c r="C140" s="2" t="s">
        <v>231</v>
      </c>
      <c r="D140" s="31" t="n">
        <v>46310</v>
      </c>
      <c r="E140" s="2" t="s">
        <v>487</v>
      </c>
      <c r="F140" s="2" t="s">
        <v>493</v>
      </c>
      <c r="G140" s="2" t="s">
        <v>15</v>
      </c>
      <c r="H140" s="2" t="s">
        <v>476</v>
      </c>
      <c r="I140" s="16" t="n">
        <f aca="false">INDEX('Recurring Budgets'!$F$2:$F$125,MATCH(P140,'Recurring Budgets'!$A$2:$A$125,0))</f>
        <v>7</v>
      </c>
      <c r="J140" s="16" t="n">
        <f aca="false">INDEX('Recurring Budgets'!$G$2:$G$125,MATCH(P140,'Recurring Budgets'!$A$2:$A$125,0))</f>
        <v>1</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 Review = median of 7 closes reviewed in Harvest (1.00h).</v>
      </c>
      <c r="P140" s="2" t="s">
        <v>416</v>
      </c>
    </row>
    <row r="141" customFormat="false" ht="15" hidden="false" customHeight="false" outlineLevel="0" collapsed="false">
      <c r="A141" s="2" t="s">
        <v>70</v>
      </c>
      <c r="B141" s="2" t="s">
        <v>96</v>
      </c>
      <c r="C141" s="2" t="s">
        <v>161</v>
      </c>
      <c r="D141" s="31" t="n">
        <v>46325</v>
      </c>
      <c r="E141" s="2" t="s">
        <v>477</v>
      </c>
      <c r="F141" s="2" t="s">
        <v>478</v>
      </c>
      <c r="G141" s="2" t="s">
        <v>161</v>
      </c>
      <c r="H141" s="2" t="s">
        <v>479</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480</v>
      </c>
      <c r="P141" s="2" t="s">
        <v>70</v>
      </c>
    </row>
    <row r="142" customFormat="false" ht="15" hidden="false" customHeight="false" outlineLevel="0" collapsed="false">
      <c r="A142" s="2" t="s">
        <v>70</v>
      </c>
      <c r="B142" s="2" t="s">
        <v>490</v>
      </c>
      <c r="C142" s="2" t="s">
        <v>271</v>
      </c>
      <c r="D142" s="31" t="n">
        <v>46325</v>
      </c>
      <c r="E142" s="2" t="s">
        <v>487</v>
      </c>
      <c r="F142" s="2" t="s">
        <v>493</v>
      </c>
      <c r="G142" s="2" t="s">
        <v>21</v>
      </c>
      <c r="H142" s="2" t="s">
        <v>476</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414</v>
      </c>
    </row>
    <row r="143" customFormat="false" ht="15" hidden="false" customHeight="false" outlineLevel="0" collapsed="false">
      <c r="A143" s="2" t="s">
        <v>71</v>
      </c>
      <c r="B143" s="2" t="s">
        <v>473</v>
      </c>
      <c r="C143" s="2" t="s">
        <v>231</v>
      </c>
      <c r="D143" s="31" t="n">
        <v>46296</v>
      </c>
      <c r="E143" s="2" t="s">
        <v>477</v>
      </c>
      <c r="F143" s="2" t="s">
        <v>475</v>
      </c>
      <c r="G143" s="2" t="s">
        <v>15</v>
      </c>
      <c r="H143" s="2" t="s">
        <v>476</v>
      </c>
      <c r="I143" s="16" t="n">
        <f aca="false">INDEX('Recurring Budgets'!$F$2:$F$125,MATCH(P143,'Recurring Budgets'!$A$2:$A$125,0))</f>
        <v>5.5</v>
      </c>
      <c r="J143" s="16" t="n">
        <f aca="false">INDEX('Recurring Budgets'!$G$2:$G$125,MATCH(P143,'Recurring Budgets'!$A$2:$A$125,0))</f>
        <v>1</v>
      </c>
      <c r="K143" s="21" t="n">
        <f aca="false">I143+J143</f>
        <v>6.5</v>
      </c>
      <c r="L143" s="2" t="n">
        <f aca="false">ROUND(K143*60,0)</f>
        <v>390</v>
      </c>
      <c r="M143" s="22" t="n">
        <f aca="false">INDEX('Recurring Budgets'!$M$2:$M$125,MATCH(P143,'Recurring Budgets'!$A$2:$A$125,0))</f>
        <v>772.5</v>
      </c>
      <c r="N143" s="8" t="str">
        <f aca="false">INDEX('Recurring Budgets'!$P$2:$P$125,MATCH(P143,'Recurring Budgets'!$A$2:$A$125,0))</f>
        <v>High</v>
      </c>
      <c r="O143" s="8" t="str">
        <f aca="false">INDEX('Recurring Budgets'!$Q$2:$Q$125,MATCH(P143,'Recurring Budgets'!$A$2:$A$125,0))</f>
        <v>Includes Month-end 5.8. Review = median of 7 closes reviewed in Harvest (1.00h).</v>
      </c>
      <c r="P143" s="2" t="s">
        <v>419</v>
      </c>
    </row>
    <row r="144" customFormat="false" ht="15" hidden="false" customHeight="false" outlineLevel="0" collapsed="false">
      <c r="A144" s="2" t="s">
        <v>71</v>
      </c>
      <c r="B144" s="2" t="s">
        <v>96</v>
      </c>
      <c r="C144" s="2" t="s">
        <v>161</v>
      </c>
      <c r="D144" s="31" t="n">
        <v>46325</v>
      </c>
      <c r="E144" s="2" t="s">
        <v>477</v>
      </c>
      <c r="F144" s="2" t="s">
        <v>478</v>
      </c>
      <c r="G144" s="2" t="s">
        <v>161</v>
      </c>
      <c r="H144" s="2" t="s">
        <v>479</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480</v>
      </c>
      <c r="P144" s="2" t="s">
        <v>71</v>
      </c>
    </row>
    <row r="145" customFormat="false" ht="15" hidden="false" customHeight="false" outlineLevel="0" collapsed="false">
      <c r="A145" s="2" t="s">
        <v>71</v>
      </c>
      <c r="B145" s="2" t="s">
        <v>481</v>
      </c>
      <c r="C145" s="2" t="s">
        <v>231</v>
      </c>
      <c r="D145" s="31" t="n">
        <v>46325</v>
      </c>
      <c r="E145" s="2" t="s">
        <v>482</v>
      </c>
      <c r="F145" s="2" t="s">
        <v>484</v>
      </c>
      <c r="G145" s="2" t="s">
        <v>15</v>
      </c>
      <c r="H145" s="2" t="s">
        <v>476</v>
      </c>
      <c r="I145" s="16" t="n">
        <f aca="false">INDEX('Recurring Budgets'!$F$2:$F$125,MATCH(P145,'Recurring Budgets'!$A$2:$A$125,0))</f>
        <v>5.5</v>
      </c>
      <c r="J145" s="16" t="n">
        <f aca="false">INDEX('Recurring Budgets'!$G$2:$G$125,MATCH(P145,'Recurring Budgets'!$A$2:$A$125,0))</f>
        <v>1</v>
      </c>
      <c r="K145" s="21" t="n">
        <f aca="false">I145+J145</f>
        <v>6.5</v>
      </c>
      <c r="L145" s="2" t="n">
        <f aca="false">ROUND(K145*60,0)</f>
        <v>390</v>
      </c>
      <c r="M145" s="22" t="n">
        <f aca="false">INDEX('Recurring Budgets'!$M$2:$M$125,MATCH(P145,'Recurring Budgets'!$A$2:$A$125,0))</f>
        <v>772.5</v>
      </c>
      <c r="N145" s="8" t="str">
        <f aca="false">INDEX('Recurring Budgets'!$P$2:$P$125,MATCH(P145,'Recurring Budgets'!$A$2:$A$125,0))</f>
        <v>High</v>
      </c>
      <c r="O145" s="8" t="str">
        <f aca="false">INDEX('Recurring Budgets'!$Q$2:$Q$125,MATCH(P145,'Recurring Budgets'!$A$2:$A$125,0))</f>
        <v>Includes Month-end 5.8. Review = median of 7 closes reviewed in Harvest (1.00h).</v>
      </c>
      <c r="P145" s="2" t="s">
        <v>419</v>
      </c>
    </row>
    <row r="146" customFormat="false" ht="15" hidden="false" customHeight="false" outlineLevel="0" collapsed="false">
      <c r="A146" s="2" t="s">
        <v>72</v>
      </c>
      <c r="B146" s="2" t="s">
        <v>483</v>
      </c>
      <c r="C146" s="2" t="s">
        <v>237</v>
      </c>
      <c r="D146" s="31" t="n">
        <v>46310</v>
      </c>
      <c r="E146" s="2" t="s">
        <v>474</v>
      </c>
      <c r="F146" s="2" t="s">
        <v>493</v>
      </c>
      <c r="G146" s="2" t="s">
        <v>13</v>
      </c>
      <c r="H146" s="2" t="s">
        <v>476</v>
      </c>
      <c r="I146" s="16" t="n">
        <f aca="false">INDEX('Recurring Budgets'!$F$2:$F$125,MATCH(P146,'Recurring Budgets'!$A$2:$A$125,0))</f>
        <v>1</v>
      </c>
      <c r="J146" s="16" t="n">
        <f aca="false">INDEX('Recurring Budgets'!$G$2:$G$125,MATCH(P146,'Recurring Budgets'!$A$2:$A$125,0))</f>
        <v>1.5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 Review = median of 3 closes reviewed in Harvest (1.50h).</v>
      </c>
      <c r="P146" s="2" t="s">
        <v>422</v>
      </c>
    </row>
    <row r="147" customFormat="false" ht="15" hidden="false" customHeight="false" outlineLevel="0" collapsed="false">
      <c r="A147" s="2" t="s">
        <v>72</v>
      </c>
      <c r="B147" s="2" t="s">
        <v>96</v>
      </c>
      <c r="C147" s="2" t="s">
        <v>161</v>
      </c>
      <c r="D147" s="31" t="n">
        <v>46325</v>
      </c>
      <c r="E147" s="2" t="s">
        <v>477</v>
      </c>
      <c r="F147" s="2" t="s">
        <v>478</v>
      </c>
      <c r="G147" s="2" t="s">
        <v>161</v>
      </c>
      <c r="H147" s="2" t="s">
        <v>479</v>
      </c>
      <c r="I147" s="16" t="n">
        <f aca="false">INDEX('1099 Oct 30'!$F$5:$F$45,MATCH(P147,'1099 Oct 30'!$A$5:$A$45,0))</f>
        <v>0</v>
      </c>
      <c r="J147" s="15" t="n">
        <v>0</v>
      </c>
      <c r="K147" s="21" t="n">
        <f aca="false">I147+J147</f>
        <v>0</v>
      </c>
      <c r="L147" s="2" t="n">
        <f aca="false">ROUND(K147*60,0)</f>
        <v>0</v>
      </c>
      <c r="M147" s="22" t="n">
        <f aca="false">I147*Assumptions!$B$4</f>
        <v>0</v>
      </c>
      <c r="N147" s="23" t="s">
        <v>227</v>
      </c>
      <c r="O147" s="2" t="s">
        <v>480</v>
      </c>
      <c r="P147" s="2" t="s">
        <v>72</v>
      </c>
    </row>
    <row r="148" customFormat="false" ht="15" hidden="false" customHeight="false" outlineLevel="0" collapsed="false">
      <c r="A148" s="2" t="s">
        <v>73</v>
      </c>
      <c r="B148" s="2" t="s">
        <v>105</v>
      </c>
      <c r="C148" s="2" t="s">
        <v>231</v>
      </c>
      <c r="D148" s="31" t="n">
        <v>46304</v>
      </c>
      <c r="E148" s="2" t="s">
        <v>482</v>
      </c>
      <c r="F148" s="2" t="s">
        <v>493</v>
      </c>
      <c r="G148" s="2" t="s">
        <v>15</v>
      </c>
      <c r="H148" s="2" t="s">
        <v>494</v>
      </c>
      <c r="I148" s="15" t="n">
        <v>2.5</v>
      </c>
      <c r="J148" s="15" t="n">
        <v>0</v>
      </c>
      <c r="K148" s="21" t="n">
        <f aca="false">I148+J148</f>
        <v>2.5</v>
      </c>
      <c r="L148" s="2" t="n">
        <f aca="false">ROUND(K148*60,0)</f>
        <v>150</v>
      </c>
      <c r="M148" s="22" t="n">
        <f aca="false">I148*Assumptions!$B$4+J148*Assumptions!$B$5</f>
        <v>237.5</v>
      </c>
      <c r="N148" s="23" t="s">
        <v>227</v>
      </c>
      <c r="O148" s="2" t="s">
        <v>533</v>
      </c>
      <c r="P148" s="2"/>
    </row>
    <row r="149" customFormat="false" ht="15" hidden="false" customHeight="false" outlineLevel="0" collapsed="false">
      <c r="A149" s="2" t="s">
        <v>73</v>
      </c>
      <c r="B149" s="2" t="s">
        <v>106</v>
      </c>
      <c r="C149" s="2" t="s">
        <v>231</v>
      </c>
      <c r="D149" s="31" t="n">
        <v>46304</v>
      </c>
      <c r="E149" s="2" t="s">
        <v>482</v>
      </c>
      <c r="F149" s="2" t="s">
        <v>493</v>
      </c>
      <c r="G149" s="2" t="s">
        <v>15</v>
      </c>
      <c r="H149" s="2" t="s">
        <v>494</v>
      </c>
      <c r="I149" s="15" t="n">
        <v>2.5</v>
      </c>
      <c r="J149" s="15" t="n">
        <v>0</v>
      </c>
      <c r="K149" s="21" t="n">
        <f aca="false">I149+J149</f>
        <v>2.5</v>
      </c>
      <c r="L149" s="2" t="n">
        <f aca="false">ROUND(K149*60,0)</f>
        <v>150</v>
      </c>
      <c r="M149" s="22" t="n">
        <f aca="false">I149*Assumptions!$B$4+J149*Assumptions!$B$5</f>
        <v>237.5</v>
      </c>
      <c r="N149" s="23" t="s">
        <v>227</v>
      </c>
      <c r="O149" s="2" t="s">
        <v>533</v>
      </c>
      <c r="P149" s="2"/>
    </row>
    <row r="150" customFormat="false" ht="15" hidden="false" customHeight="false" outlineLevel="0" collapsed="false">
      <c r="A150" s="2" t="s">
        <v>73</v>
      </c>
      <c r="B150" s="2" t="s">
        <v>107</v>
      </c>
      <c r="C150" s="2" t="s">
        <v>231</v>
      </c>
      <c r="D150" s="31" t="n">
        <v>46304</v>
      </c>
      <c r="E150" s="2" t="s">
        <v>482</v>
      </c>
      <c r="F150" s="2" t="s">
        <v>493</v>
      </c>
      <c r="G150" s="2" t="s">
        <v>15</v>
      </c>
      <c r="H150" s="2" t="s">
        <v>494</v>
      </c>
      <c r="I150" s="15" t="n">
        <v>2.5</v>
      </c>
      <c r="J150" s="15" t="n">
        <v>0</v>
      </c>
      <c r="K150" s="21" t="n">
        <f aca="false">I150+J150</f>
        <v>2.5</v>
      </c>
      <c r="L150" s="2" t="n">
        <f aca="false">ROUND(K150*60,0)</f>
        <v>150</v>
      </c>
      <c r="M150" s="22" t="n">
        <f aca="false">I150*Assumptions!$B$4+J150*Assumptions!$B$5</f>
        <v>237.5</v>
      </c>
      <c r="N150" s="23" t="s">
        <v>227</v>
      </c>
      <c r="O150" s="2" t="s">
        <v>533</v>
      </c>
      <c r="P150" s="2"/>
    </row>
    <row r="151" customFormat="false" ht="15" hidden="false" customHeight="false" outlineLevel="0" collapsed="false">
      <c r="A151" s="2" t="s">
        <v>73</v>
      </c>
      <c r="B151" s="2" t="s">
        <v>108</v>
      </c>
      <c r="C151" s="2" t="s">
        <v>231</v>
      </c>
      <c r="D151" s="31" t="n">
        <v>46311</v>
      </c>
      <c r="E151" s="2" t="s">
        <v>482</v>
      </c>
      <c r="F151" s="2" t="s">
        <v>493</v>
      </c>
      <c r="G151" s="2" t="s">
        <v>15</v>
      </c>
      <c r="H151" s="2" t="s">
        <v>494</v>
      </c>
      <c r="I151" s="15" t="n">
        <v>2.5</v>
      </c>
      <c r="J151" s="15" t="n">
        <v>0</v>
      </c>
      <c r="K151" s="21" t="n">
        <f aca="false">I151+J151</f>
        <v>2.5</v>
      </c>
      <c r="L151" s="2" t="n">
        <f aca="false">ROUND(K151*60,0)</f>
        <v>150</v>
      </c>
      <c r="M151" s="22" t="n">
        <f aca="false">I151*Assumptions!$B$4+J151*Assumptions!$B$5</f>
        <v>237.5</v>
      </c>
      <c r="N151" s="23" t="s">
        <v>227</v>
      </c>
      <c r="O151" s="2" t="s">
        <v>533</v>
      </c>
      <c r="P151" s="2"/>
    </row>
    <row r="152" customFormat="false" ht="15" hidden="false" customHeight="false" outlineLevel="0" collapsed="false">
      <c r="A152" s="2" t="s">
        <v>73</v>
      </c>
      <c r="B152" s="2" t="s">
        <v>473</v>
      </c>
      <c r="C152" s="2" t="s">
        <v>231</v>
      </c>
      <c r="D152" s="31" t="n">
        <v>46311</v>
      </c>
      <c r="E152" s="2" t="s">
        <v>482</v>
      </c>
      <c r="F152" s="2" t="s">
        <v>484</v>
      </c>
      <c r="G152" s="2" t="s">
        <v>15</v>
      </c>
      <c r="H152" s="2" t="s">
        <v>476</v>
      </c>
      <c r="I152" s="16" t="n">
        <f aca="false">INDEX('Recurring Budgets'!$F$2:$F$125,MATCH(P152,'Recurring Budgets'!$A$2:$A$125,0))</f>
        <v>1</v>
      </c>
      <c r="J152" s="16" t="n">
        <f aca="false">INDEX('Recurring Budgets'!$G$2:$G$125,MATCH(P152,'Recurring Budgets'!$A$2:$A$125,0))</f>
        <v>0.5</v>
      </c>
      <c r="K152" s="21" t="n">
        <f aca="false">I152+J152</f>
        <v>1.5</v>
      </c>
      <c r="L152" s="2" t="n">
        <f aca="false">ROUND(K152*60,0)</f>
        <v>90</v>
      </c>
      <c r="M152" s="22" t="n">
        <f aca="false">INDEX('Recurring Budgets'!$M$2:$M$125,MATCH(P152,'Recurring Budgets'!$A$2:$A$125,0))</f>
        <v>220</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428</v>
      </c>
    </row>
    <row r="153" customFormat="false" ht="15" hidden="false" customHeight="false" outlineLevel="0" collapsed="false">
      <c r="A153" s="2" t="s">
        <v>73</v>
      </c>
      <c r="B153" s="2" t="s">
        <v>109</v>
      </c>
      <c r="C153" s="2" t="s">
        <v>231</v>
      </c>
      <c r="D153" s="31" t="n">
        <v>46311</v>
      </c>
      <c r="E153" s="2" t="s">
        <v>482</v>
      </c>
      <c r="F153" s="2" t="s">
        <v>493</v>
      </c>
      <c r="G153" s="2" t="s">
        <v>15</v>
      </c>
      <c r="H153" s="2" t="s">
        <v>494</v>
      </c>
      <c r="I153" s="15" t="n">
        <v>2.5</v>
      </c>
      <c r="J153" s="15" t="n">
        <v>0</v>
      </c>
      <c r="K153" s="21" t="n">
        <f aca="false">I153+J153</f>
        <v>2.5</v>
      </c>
      <c r="L153" s="2" t="n">
        <f aca="false">ROUND(K153*60,0)</f>
        <v>150</v>
      </c>
      <c r="M153" s="22" t="n">
        <f aca="false">I153*Assumptions!$B$4+J153*Assumptions!$B$5</f>
        <v>237.5</v>
      </c>
      <c r="N153" s="23" t="s">
        <v>227</v>
      </c>
      <c r="O153" s="2" t="s">
        <v>533</v>
      </c>
      <c r="P153" s="2"/>
    </row>
    <row r="154" customFormat="false" ht="15" hidden="false" customHeight="false" outlineLevel="0" collapsed="false">
      <c r="A154" s="2" t="s">
        <v>73</v>
      </c>
      <c r="B154" s="2" t="s">
        <v>110</v>
      </c>
      <c r="C154" s="2" t="s">
        <v>231</v>
      </c>
      <c r="D154" s="31" t="n">
        <v>46311</v>
      </c>
      <c r="E154" s="2" t="s">
        <v>482</v>
      </c>
      <c r="F154" s="2" t="s">
        <v>493</v>
      </c>
      <c r="G154" s="2" t="s">
        <v>15</v>
      </c>
      <c r="H154" s="2" t="s">
        <v>494</v>
      </c>
      <c r="I154" s="15" t="n">
        <v>2.5</v>
      </c>
      <c r="J154" s="15" t="n">
        <v>0</v>
      </c>
      <c r="K154" s="21" t="n">
        <f aca="false">I154+J154</f>
        <v>2.5</v>
      </c>
      <c r="L154" s="2" t="n">
        <f aca="false">ROUND(K154*60,0)</f>
        <v>150</v>
      </c>
      <c r="M154" s="22" t="n">
        <f aca="false">I154*Assumptions!$B$4+J154*Assumptions!$B$5</f>
        <v>237.5</v>
      </c>
      <c r="N154" s="23" t="s">
        <v>227</v>
      </c>
      <c r="O154" s="2" t="s">
        <v>533</v>
      </c>
      <c r="P154" s="2"/>
    </row>
    <row r="155" customFormat="false" ht="15" hidden="false" customHeight="false" outlineLevel="0" collapsed="false">
      <c r="A155" s="2" t="s">
        <v>73</v>
      </c>
      <c r="B155" s="2" t="s">
        <v>111</v>
      </c>
      <c r="C155" s="2" t="s">
        <v>231</v>
      </c>
      <c r="D155" s="31" t="n">
        <v>46311</v>
      </c>
      <c r="E155" s="2" t="s">
        <v>482</v>
      </c>
      <c r="F155" s="2" t="s">
        <v>493</v>
      </c>
      <c r="G155" s="2" t="s">
        <v>15</v>
      </c>
      <c r="H155" s="2" t="s">
        <v>494</v>
      </c>
      <c r="I155" s="15" t="n">
        <v>2.5</v>
      </c>
      <c r="J155" s="15" t="n">
        <v>0</v>
      </c>
      <c r="K155" s="21" t="n">
        <f aca="false">I155+J155</f>
        <v>2.5</v>
      </c>
      <c r="L155" s="2" t="n">
        <f aca="false">ROUND(K155*60,0)</f>
        <v>150</v>
      </c>
      <c r="M155" s="22" t="n">
        <f aca="false">I155*Assumptions!$B$4+J155*Assumptions!$B$5</f>
        <v>237.5</v>
      </c>
      <c r="N155" s="23" t="s">
        <v>227</v>
      </c>
      <c r="O155" s="2" t="s">
        <v>533</v>
      </c>
      <c r="P155" s="2"/>
    </row>
    <row r="156" customFormat="false" ht="15" hidden="false" customHeight="false" outlineLevel="0" collapsed="false">
      <c r="A156" s="2" t="s">
        <v>73</v>
      </c>
      <c r="B156" s="2" t="s">
        <v>481</v>
      </c>
      <c r="C156" s="2" t="s">
        <v>231</v>
      </c>
      <c r="D156" s="31" t="n">
        <v>46314</v>
      </c>
      <c r="E156" s="2" t="s">
        <v>482</v>
      </c>
      <c r="F156" s="2" t="s">
        <v>484</v>
      </c>
      <c r="G156" s="2" t="s">
        <v>15</v>
      </c>
      <c r="H156" s="2" t="s">
        <v>476</v>
      </c>
      <c r="I156" s="16" t="n">
        <f aca="false">INDEX('Recurring Budgets'!$F$2:$F$125,MATCH(P156,'Recurring Budgets'!$A$2:$A$125,0))</f>
        <v>1</v>
      </c>
      <c r="J156" s="16" t="n">
        <f aca="false">INDEX('Recurring Budgets'!$G$2:$G$125,MATCH(P156,'Recurring Budgets'!$A$2:$A$125,0))</f>
        <v>0.5</v>
      </c>
      <c r="K156" s="21" t="n">
        <f aca="false">I156+J156</f>
        <v>1.5</v>
      </c>
      <c r="L156" s="2" t="n">
        <f aca="false">ROUND(K156*60,0)</f>
        <v>90</v>
      </c>
      <c r="M156" s="22" t="n">
        <f aca="false">INDEX('Recurring Budgets'!$M$2:$M$125,MATCH(P156,'Recurring Budgets'!$A$2:$A$125,0))</f>
        <v>220</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428</v>
      </c>
    </row>
    <row r="157" customFormat="false" ht="15" hidden="false" customHeight="false" outlineLevel="0" collapsed="false">
      <c r="A157" s="2" t="s">
        <v>73</v>
      </c>
      <c r="B157" s="2" t="s">
        <v>96</v>
      </c>
      <c r="C157" s="2" t="s">
        <v>161</v>
      </c>
      <c r="D157" s="31" t="n">
        <v>46325</v>
      </c>
      <c r="E157" s="2" t="s">
        <v>477</v>
      </c>
      <c r="F157" s="2" t="s">
        <v>478</v>
      </c>
      <c r="G157" s="2" t="s">
        <v>161</v>
      </c>
      <c r="H157" s="2" t="s">
        <v>479</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480</v>
      </c>
      <c r="P157" s="2" t="s">
        <v>73</v>
      </c>
    </row>
    <row r="158" customFormat="false" ht="15" hidden="false" customHeight="false" outlineLevel="0" collapsed="false">
      <c r="A158" s="2" t="s">
        <v>73</v>
      </c>
      <c r="B158" s="2" t="s">
        <v>490</v>
      </c>
      <c r="C158" s="2" t="s">
        <v>271</v>
      </c>
      <c r="D158" s="31" t="n">
        <v>46325</v>
      </c>
      <c r="E158" s="2" t="s">
        <v>474</v>
      </c>
      <c r="F158" s="2" t="s">
        <v>475</v>
      </c>
      <c r="G158" s="2" t="s">
        <v>21</v>
      </c>
      <c r="H158" s="2" t="s">
        <v>476</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426</v>
      </c>
    </row>
    <row r="159" customFormat="false" ht="15" hidden="false" customHeight="false" outlineLevel="0" collapsed="false">
      <c r="A159" s="2" t="s">
        <v>74</v>
      </c>
      <c r="B159" s="2" t="s">
        <v>481</v>
      </c>
      <c r="C159" s="2" t="s">
        <v>231</v>
      </c>
      <c r="D159" s="31" t="n">
        <v>46301</v>
      </c>
      <c r="E159" s="2" t="s">
        <v>488</v>
      </c>
      <c r="F159" s="2" t="s">
        <v>484</v>
      </c>
      <c r="G159" s="2" t="s">
        <v>15</v>
      </c>
      <c r="H159" s="2" t="s">
        <v>476</v>
      </c>
      <c r="I159" s="16" t="n">
        <f aca="false">INDEX('Recurring Budgets'!$F$2:$F$125,MATCH(P159,'Recurring Budgets'!$A$2:$A$125,0))</f>
        <v>1.5833</v>
      </c>
      <c r="J159" s="16" t="n">
        <f aca="false">INDEX('Recurring Budgets'!$G$2:$G$125,MATCH(P159,'Recurring Budgets'!$A$2:$A$125,0))</f>
        <v>0.4833</v>
      </c>
      <c r="K159" s="21" t="n">
        <f aca="false">I159+J159</f>
        <v>2.0666</v>
      </c>
      <c r="L159" s="2" t="n">
        <f aca="false">ROUND(K159*60,0)</f>
        <v>124</v>
      </c>
      <c r="M159" s="22" t="n">
        <f aca="false">INDEX('Recurring Budgets'!$M$2:$M$125,MATCH(P159,'Recurring Budgets'!$A$2:$A$125,0))</f>
        <v>271.2385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432</v>
      </c>
    </row>
    <row r="160" customFormat="false" ht="15" hidden="false" customHeight="false" outlineLevel="0" collapsed="false">
      <c r="A160" s="2" t="s">
        <v>74</v>
      </c>
      <c r="B160" s="2" t="s">
        <v>96</v>
      </c>
      <c r="C160" s="2" t="s">
        <v>161</v>
      </c>
      <c r="D160" s="31" t="n">
        <v>46325</v>
      </c>
      <c r="E160" s="2" t="s">
        <v>477</v>
      </c>
      <c r="F160" s="2" t="s">
        <v>478</v>
      </c>
      <c r="G160" s="2" t="s">
        <v>161</v>
      </c>
      <c r="H160" s="2" t="s">
        <v>479</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480</v>
      </c>
      <c r="P160" s="2" t="s">
        <v>74</v>
      </c>
    </row>
    <row r="161" customFormat="false" ht="15" hidden="false" customHeight="false" outlineLevel="0" collapsed="false">
      <c r="A161" s="2" t="s">
        <v>75</v>
      </c>
      <c r="B161" s="2" t="s">
        <v>481</v>
      </c>
      <c r="C161" s="2" t="s">
        <v>231</v>
      </c>
      <c r="D161" s="31" t="n">
        <v>46301</v>
      </c>
      <c r="E161" s="2" t="s">
        <v>488</v>
      </c>
      <c r="F161" s="2" t="s">
        <v>484</v>
      </c>
      <c r="G161" s="2" t="s">
        <v>15</v>
      </c>
      <c r="H161" s="2" t="s">
        <v>476</v>
      </c>
      <c r="I161" s="16" t="n">
        <f aca="false">INDEX('Recurring Budgets'!$F$2:$F$125,MATCH(P161,'Recurring Budgets'!$A$2:$A$125,0))</f>
        <v>0.75</v>
      </c>
      <c r="J161" s="16" t="n">
        <f aca="false">INDEX('Recurring Budgets'!$G$2:$G$125,MATCH(P161,'Recurring Budgets'!$A$2:$A$125,0))</f>
        <v>0.3833</v>
      </c>
      <c r="K161" s="21" t="n">
        <f aca="false">I161+J161</f>
        <v>1.1333</v>
      </c>
      <c r="L161" s="2" t="n">
        <f aca="false">ROUND(K161*60,0)</f>
        <v>68</v>
      </c>
      <c r="M161" s="22" t="n">
        <f aca="false">INDEX('Recurring Budgets'!$M$2:$M$125,MATCH(P161,'Recurring Budgets'!$A$2:$A$125,0))</f>
        <v>167.075</v>
      </c>
      <c r="N161" s="8" t="str">
        <f aca="false">INDEX('Recurring Budgets'!$P$2:$P$125,MATCH(P161,'Recurring Budgets'!$A$2:$A$125,0))</f>
        <v>Medium</v>
      </c>
      <c r="O161" s="8" t="str">
        <f aca="false">INDEX('Recurring Budgets'!$Q$2:$Q$125,MATCH(P161,'Recurring Budgets'!$A$2:$A$125,0))</f>
        <v>Josephine's Apr–May 2026 closes + allowance for a new person (Valentina's hours not used). Review = median of 8 closes reviewed in Harvest (0.38h).</v>
      </c>
      <c r="P161" s="2" t="s">
        <v>435</v>
      </c>
    </row>
    <row r="162" customFormat="false" ht="15" hidden="false" customHeight="false" outlineLevel="0" collapsed="false">
      <c r="A162" s="2" t="s">
        <v>75</v>
      </c>
      <c r="B162" s="2" t="s">
        <v>96</v>
      </c>
      <c r="C162" s="2" t="s">
        <v>161</v>
      </c>
      <c r="D162" s="31" t="n">
        <v>46325</v>
      </c>
      <c r="E162" s="2" t="s">
        <v>477</v>
      </c>
      <c r="F162" s="2" t="s">
        <v>478</v>
      </c>
      <c r="G162" s="2" t="s">
        <v>161</v>
      </c>
      <c r="H162" s="2" t="s">
        <v>479</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480</v>
      </c>
      <c r="P162" s="2" t="s">
        <v>75</v>
      </c>
    </row>
    <row r="163" customFormat="false" ht="15" hidden="false" customHeight="false" outlineLevel="0" collapsed="false">
      <c r="A163" s="2" t="s">
        <v>112</v>
      </c>
      <c r="B163" s="2" t="s">
        <v>113</v>
      </c>
      <c r="C163" s="2" t="s">
        <v>491</v>
      </c>
      <c r="D163" s="31" t="n">
        <v>46297</v>
      </c>
      <c r="E163" s="2" t="s">
        <v>492</v>
      </c>
      <c r="F163" s="2" t="s">
        <v>475</v>
      </c>
      <c r="G163" s="2" t="s">
        <v>90</v>
      </c>
      <c r="H163" s="2" t="s">
        <v>494</v>
      </c>
      <c r="I163" s="15" t="n">
        <v>2.5</v>
      </c>
      <c r="J163" s="15" t="n">
        <v>0</v>
      </c>
      <c r="K163" s="21" t="n">
        <f aca="false">I163+J163</f>
        <v>2.5</v>
      </c>
      <c r="L163" s="2" t="n">
        <f aca="false">ROUND(K163*60,0)</f>
        <v>150</v>
      </c>
      <c r="M163" s="22" t="n">
        <f aca="false">I163*Assumptions!$B$4+J163*Assumptions!$B$5</f>
        <v>237.5</v>
      </c>
      <c r="N163" s="23" t="s">
        <v>227</v>
      </c>
      <c r="O163" s="2" t="s">
        <v>534</v>
      </c>
      <c r="P163" s="2"/>
    </row>
    <row r="164" customFormat="false" ht="15" hidden="false" customHeight="false" outlineLevel="0" collapsed="false">
      <c r="A164" s="2" t="s">
        <v>76</v>
      </c>
      <c r="B164" s="2" t="s">
        <v>535</v>
      </c>
      <c r="C164" s="2" t="s">
        <v>243</v>
      </c>
      <c r="D164" s="31" t="n">
        <v>46293</v>
      </c>
      <c r="E164" s="2" t="s">
        <v>488</v>
      </c>
      <c r="F164" s="2" t="s">
        <v>493</v>
      </c>
      <c r="G164" s="2" t="s">
        <v>30</v>
      </c>
      <c r="H164" s="2" t="s">
        <v>476</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443</v>
      </c>
    </row>
    <row r="165" customFormat="false" ht="15" hidden="false" customHeight="false" outlineLevel="0" collapsed="false">
      <c r="A165" s="2" t="s">
        <v>76</v>
      </c>
      <c r="B165" s="2" t="s">
        <v>536</v>
      </c>
      <c r="C165" s="2" t="s">
        <v>276</v>
      </c>
      <c r="D165" s="31" t="n">
        <v>46293</v>
      </c>
      <c r="E165" s="2" t="s">
        <v>474</v>
      </c>
      <c r="F165" s="2" t="s">
        <v>493</v>
      </c>
      <c r="G165" s="2" t="s">
        <v>30</v>
      </c>
      <c r="H165" s="2" t="s">
        <v>476</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445</v>
      </c>
    </row>
    <row r="166" customFormat="false" ht="15" hidden="false" customHeight="false" outlineLevel="0" collapsed="false">
      <c r="A166" s="2" t="s">
        <v>76</v>
      </c>
      <c r="B166" s="2" t="s">
        <v>114</v>
      </c>
      <c r="C166" s="2" t="s">
        <v>243</v>
      </c>
      <c r="D166" s="31" t="n">
        <v>46295</v>
      </c>
      <c r="E166" s="2" t="s">
        <v>492</v>
      </c>
      <c r="F166" s="2" t="s">
        <v>493</v>
      </c>
      <c r="G166" s="2" t="s">
        <v>90</v>
      </c>
      <c r="H166" s="2" t="s">
        <v>494</v>
      </c>
      <c r="I166" s="15" t="n">
        <v>3.5</v>
      </c>
      <c r="J166" s="15" t="n">
        <v>0</v>
      </c>
      <c r="K166" s="21" t="n">
        <f aca="false">I166+J166</f>
        <v>3.5</v>
      </c>
      <c r="L166" s="2" t="n">
        <f aca="false">ROUND(K166*60,0)</f>
        <v>210</v>
      </c>
      <c r="M166" s="22" t="n">
        <f aca="false">I166*Assumptions!$B$4+J166*Assumptions!$B$5</f>
        <v>332.5</v>
      </c>
      <c r="N166" s="23" t="s">
        <v>227</v>
      </c>
      <c r="O166" s="2" t="s">
        <v>537</v>
      </c>
      <c r="P166" s="2"/>
    </row>
    <row r="167" customFormat="false" ht="15" hidden="false" customHeight="false" outlineLevel="0" collapsed="false">
      <c r="A167" s="2" t="s">
        <v>76</v>
      </c>
      <c r="B167" s="2" t="s">
        <v>538</v>
      </c>
      <c r="C167" s="2" t="s">
        <v>243</v>
      </c>
      <c r="D167" s="31" t="n">
        <v>46300</v>
      </c>
      <c r="E167" s="2" t="s">
        <v>488</v>
      </c>
      <c r="F167" s="2" t="s">
        <v>478</v>
      </c>
      <c r="G167" s="2" t="s">
        <v>30</v>
      </c>
      <c r="H167" s="2" t="s">
        <v>476</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443</v>
      </c>
    </row>
    <row r="168" customFormat="false" ht="15" hidden="false" customHeight="false" outlineLevel="0" collapsed="false">
      <c r="A168" s="2" t="s">
        <v>76</v>
      </c>
      <c r="B168" s="2" t="s">
        <v>481</v>
      </c>
      <c r="C168" s="2" t="s">
        <v>231</v>
      </c>
      <c r="D168" s="31" t="n">
        <v>46302</v>
      </c>
      <c r="E168" s="2" t="s">
        <v>488</v>
      </c>
      <c r="F168" s="2" t="s">
        <v>484</v>
      </c>
      <c r="G168" s="2" t="s">
        <v>15</v>
      </c>
      <c r="H168" s="2" t="s">
        <v>476</v>
      </c>
      <c r="I168" s="16" t="n">
        <f aca="false">INDEX('Recurring Budgets'!$F$2:$F$125,MATCH(P168,'Recurring Budgets'!$A$2:$A$125,0))</f>
        <v>5.5833</v>
      </c>
      <c r="J168" s="16" t="n">
        <f aca="false">INDEX('Recurring Budgets'!$G$2:$G$125,MATCH(P168,'Recurring Budgets'!$A$2:$A$125,0))</f>
        <v>0.5</v>
      </c>
      <c r="K168" s="21" t="n">
        <f aca="false">I168+J168</f>
        <v>6.0833</v>
      </c>
      <c r="L168" s="2" t="n">
        <f aca="false">ROUND(K168*60,0)</f>
        <v>365</v>
      </c>
      <c r="M168" s="22" t="n">
        <f aca="false">INDEX('Recurring Budgets'!$M$2:$M$125,MATCH(P168,'Recurring Budgets'!$A$2:$A$125,0))</f>
        <v>655.4135</v>
      </c>
      <c r="N168" s="8" t="str">
        <f aca="false">INDEX('Recurring Budgets'!$P$2:$P$125,MATCH(P168,'Recurring Budgets'!$A$2:$A$125,0))</f>
        <v>Low – based on Valentina's hours</v>
      </c>
      <c r="O168" s="8" t="str">
        <f aca="false">INDEX('Recurring Budgets'!$Q$2:$Q$125,MATCH(P168,'Recurring Budgets'!$A$2:$A$125,0))</f>
        <v>Includes Month-end 3.2. Review = median of 5 closes reviewed in Harvest (0.50h).</v>
      </c>
      <c r="P168" s="2" t="s">
        <v>439</v>
      </c>
    </row>
    <row r="169" customFormat="false" ht="15" hidden="false" customHeight="false" outlineLevel="0" collapsed="false">
      <c r="A169" s="2" t="s">
        <v>76</v>
      </c>
      <c r="B169" s="2" t="s">
        <v>539</v>
      </c>
      <c r="C169" s="2" t="s">
        <v>373</v>
      </c>
      <c r="D169" s="31" t="n">
        <v>46304</v>
      </c>
      <c r="E169" s="2" t="s">
        <v>488</v>
      </c>
      <c r="F169" s="2" t="s">
        <v>478</v>
      </c>
      <c r="G169" s="2" t="s">
        <v>56</v>
      </c>
      <c r="H169" s="2" t="s">
        <v>476</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437</v>
      </c>
    </row>
    <row r="170" customFormat="false" ht="15" hidden="false" customHeight="false" outlineLevel="0" collapsed="false">
      <c r="A170" s="2" t="s">
        <v>76</v>
      </c>
      <c r="B170" s="2" t="s">
        <v>540</v>
      </c>
      <c r="C170" s="2" t="s">
        <v>240</v>
      </c>
      <c r="D170" s="31" t="n">
        <v>46310</v>
      </c>
      <c r="E170" s="2" t="s">
        <v>488</v>
      </c>
      <c r="F170" s="2" t="s">
        <v>493</v>
      </c>
      <c r="G170" s="2" t="s">
        <v>15</v>
      </c>
      <c r="H170" s="2" t="s">
        <v>476</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441</v>
      </c>
    </row>
    <row r="171" customFormat="false" ht="15" hidden="false" customHeight="false" outlineLevel="0" collapsed="false">
      <c r="A171" s="2" t="s">
        <v>76</v>
      </c>
      <c r="B171" s="2" t="s">
        <v>96</v>
      </c>
      <c r="C171" s="2" t="s">
        <v>161</v>
      </c>
      <c r="D171" s="31" t="n">
        <v>46325</v>
      </c>
      <c r="E171" s="2" t="s">
        <v>477</v>
      </c>
      <c r="F171" s="2" t="s">
        <v>478</v>
      </c>
      <c r="G171" s="2" t="s">
        <v>161</v>
      </c>
      <c r="H171" s="2" t="s">
        <v>479</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480</v>
      </c>
      <c r="P171" s="2" t="s">
        <v>76</v>
      </c>
    </row>
    <row r="172" customFormat="false" ht="15" hidden="false" customHeight="false" outlineLevel="0" collapsed="false">
      <c r="A172" s="2" t="s">
        <v>81</v>
      </c>
      <c r="B172" s="2" t="s">
        <v>481</v>
      </c>
      <c r="C172" s="2" t="s">
        <v>231</v>
      </c>
      <c r="D172" s="31" t="n">
        <v>46301</v>
      </c>
      <c r="E172" s="2" t="s">
        <v>488</v>
      </c>
      <c r="F172" s="2" t="s">
        <v>484</v>
      </c>
      <c r="G172" s="2" t="s">
        <v>15</v>
      </c>
      <c r="H172" s="2" t="s">
        <v>476</v>
      </c>
      <c r="I172" s="16" t="n">
        <f aca="false">INDEX('Recurring Budgets'!$F$2:$F$125,MATCH(P172,'Recurring Budgets'!$A$2:$A$125,0))</f>
        <v>0.5</v>
      </c>
      <c r="J172" s="16" t="n">
        <f aca="false">INDEX('Recurring Budgets'!$G$2:$G$125,MATCH(P172,'Recurring Budgets'!$A$2:$A$125,0))</f>
        <v>0.6</v>
      </c>
      <c r="K172" s="21" t="n">
        <f aca="false">I172+J172</f>
        <v>1.1</v>
      </c>
      <c r="L172" s="2" t="n">
        <f aca="false">ROUND(K172*60,0)</f>
        <v>66</v>
      </c>
      <c r="M172" s="22" t="n">
        <f aca="false">INDEX('Recurring Budgets'!$M$2:$M$125,MATCH(P172,'Recurring Budgets'!$A$2:$A$125,0))</f>
        <v>197.5</v>
      </c>
      <c r="N172" s="8" t="str">
        <f aca="false">INDEX('Recurring Budgets'!$P$2:$P$125,MATCH(P172,'Recurring Budgets'!$A$2:$A$125,0))</f>
        <v>Medium</v>
      </c>
      <c r="O172" s="8" t="str">
        <f aca="false">INDEX('Recurring Budgets'!$Q$2:$Q$125,MATCH(P172,'Recurring Budgets'!$A$2:$A$125,0))</f>
        <v>Josephine's Apr–May 2026 closes + allowance for a new person (Valentina's hours not used). Review = median of 8 closes reviewed in Harvest (0.60h).</v>
      </c>
      <c r="P172" s="2" t="s">
        <v>448</v>
      </c>
    </row>
    <row r="173" customFormat="false" ht="15" hidden="false" customHeight="false" outlineLevel="0" collapsed="false">
      <c r="A173" s="2" t="s">
        <v>81</v>
      </c>
      <c r="B173" s="2" t="s">
        <v>96</v>
      </c>
      <c r="C173" s="2" t="s">
        <v>161</v>
      </c>
      <c r="D173" s="31" t="n">
        <v>46325</v>
      </c>
      <c r="E173" s="2" t="s">
        <v>477</v>
      </c>
      <c r="F173" s="2" t="s">
        <v>478</v>
      </c>
      <c r="G173" s="2" t="s">
        <v>161</v>
      </c>
      <c r="H173" s="2" t="s">
        <v>479</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480</v>
      </c>
      <c r="P173" s="2" t="s">
        <v>81</v>
      </c>
    </row>
    <row r="174" customFormat="false" ht="15" hidden="false" customHeight="false" outlineLevel="0" collapsed="false">
      <c r="A174" s="2" t="s">
        <v>82</v>
      </c>
      <c r="B174" s="2" t="s">
        <v>541</v>
      </c>
      <c r="C174" s="2" t="s">
        <v>240</v>
      </c>
      <c r="D174" s="31" t="n">
        <v>46280</v>
      </c>
      <c r="E174" s="2" t="s">
        <v>488</v>
      </c>
      <c r="F174" s="2" t="s">
        <v>484</v>
      </c>
      <c r="G174" s="2" t="s">
        <v>15</v>
      </c>
      <c r="H174" s="2" t="s">
        <v>476</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456</v>
      </c>
    </row>
    <row r="175" customFormat="false" ht="15" hidden="false" customHeight="false" outlineLevel="0" collapsed="false">
      <c r="A175" s="2" t="s">
        <v>82</v>
      </c>
      <c r="B175" s="2" t="s">
        <v>535</v>
      </c>
      <c r="C175" s="2" t="s">
        <v>237</v>
      </c>
      <c r="D175" s="31" t="n">
        <v>46293</v>
      </c>
      <c r="E175" s="2" t="s">
        <v>488</v>
      </c>
      <c r="F175" s="2" t="s">
        <v>493</v>
      </c>
      <c r="G175" s="2" t="s">
        <v>30</v>
      </c>
      <c r="H175" s="2" t="s">
        <v>476</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458</v>
      </c>
    </row>
    <row r="176" customFormat="false" ht="15" hidden="false" customHeight="false" outlineLevel="0" collapsed="false">
      <c r="A176" s="2" t="s">
        <v>82</v>
      </c>
      <c r="B176" s="2" t="s">
        <v>536</v>
      </c>
      <c r="C176" s="2" t="s">
        <v>237</v>
      </c>
      <c r="D176" s="31" t="n">
        <v>46293</v>
      </c>
      <c r="E176" s="2" t="s">
        <v>474</v>
      </c>
      <c r="F176" s="2" t="s">
        <v>493</v>
      </c>
      <c r="G176" s="2" t="s">
        <v>30</v>
      </c>
      <c r="H176" s="2" t="s">
        <v>476</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460</v>
      </c>
    </row>
    <row r="177" customFormat="false" ht="15" hidden="false" customHeight="false" outlineLevel="0" collapsed="false">
      <c r="A177" s="2" t="s">
        <v>82</v>
      </c>
      <c r="B177" s="2" t="s">
        <v>542</v>
      </c>
      <c r="C177" s="2" t="s">
        <v>237</v>
      </c>
      <c r="D177" s="31" t="n">
        <v>46295</v>
      </c>
      <c r="E177" s="2" t="s">
        <v>492</v>
      </c>
      <c r="F177" s="2" t="s">
        <v>493</v>
      </c>
      <c r="G177" s="2" t="s">
        <v>56</v>
      </c>
      <c r="H177" s="2" t="s">
        <v>476</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452</v>
      </c>
    </row>
    <row r="178" customFormat="false" ht="15" hidden="false" customHeight="false" outlineLevel="0" collapsed="false">
      <c r="A178" s="2" t="s">
        <v>82</v>
      </c>
      <c r="B178" s="2" t="s">
        <v>114</v>
      </c>
      <c r="C178" s="2" t="s">
        <v>491</v>
      </c>
      <c r="D178" s="31" t="n">
        <v>46295</v>
      </c>
      <c r="E178" s="2" t="s">
        <v>492</v>
      </c>
      <c r="F178" s="2" t="s">
        <v>493</v>
      </c>
      <c r="G178" s="2" t="s">
        <v>90</v>
      </c>
      <c r="H178" s="2" t="s">
        <v>494</v>
      </c>
      <c r="I178" s="15" t="n">
        <v>3.5</v>
      </c>
      <c r="J178" s="15" t="n">
        <v>0</v>
      </c>
      <c r="K178" s="21" t="n">
        <f aca="false">I178+J178</f>
        <v>3.5</v>
      </c>
      <c r="L178" s="2" t="n">
        <f aca="false">ROUND(K178*60,0)</f>
        <v>210</v>
      </c>
      <c r="M178" s="22" t="n">
        <f aca="false">I178*Assumptions!$B$4+J178*Assumptions!$B$5</f>
        <v>332.5</v>
      </c>
      <c r="N178" s="23" t="s">
        <v>227</v>
      </c>
      <c r="O178" s="2" t="s">
        <v>537</v>
      </c>
      <c r="P178" s="2"/>
    </row>
    <row r="179" customFormat="false" ht="15" hidden="false" customHeight="false" outlineLevel="0" collapsed="false">
      <c r="A179" s="2" t="s">
        <v>82</v>
      </c>
      <c r="B179" s="2" t="s">
        <v>481</v>
      </c>
      <c r="C179" s="2" t="s">
        <v>231</v>
      </c>
      <c r="D179" s="31" t="n">
        <v>46301</v>
      </c>
      <c r="E179" s="2" t="s">
        <v>488</v>
      </c>
      <c r="F179" s="2" t="s">
        <v>484</v>
      </c>
      <c r="G179" s="2" t="s">
        <v>15</v>
      </c>
      <c r="H179" s="2" t="s">
        <v>476</v>
      </c>
      <c r="I179" s="16" t="n">
        <f aca="false">INDEX('Recurring Budgets'!$F$2:$F$125,MATCH(P179,'Recurring Budgets'!$A$2:$A$125,0))</f>
        <v>5.5</v>
      </c>
      <c r="J179" s="16" t="n">
        <f aca="false">INDEX('Recurring Budgets'!$G$2:$G$125,MATCH(P179,'Recurring Budgets'!$A$2:$A$125,0))</f>
        <v>0.6</v>
      </c>
      <c r="K179" s="21" t="n">
        <f aca="false">I179+J179</f>
        <v>6.1</v>
      </c>
      <c r="L179" s="2" t="n">
        <f aca="false">ROUND(K179*60,0)</f>
        <v>366</v>
      </c>
      <c r="M179" s="22" t="n">
        <f aca="false">INDEX('Recurring Budgets'!$M$2:$M$125,MATCH(P179,'Recurring Budgets'!$A$2:$A$125,0))</f>
        <v>672.5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 Review = median of 10 closes reviewed in Harvest (0.60h).</v>
      </c>
      <c r="P179" s="2" t="s">
        <v>454</v>
      </c>
    </row>
    <row r="180" customFormat="false" ht="15" hidden="false" customHeight="false" outlineLevel="0" collapsed="false">
      <c r="A180" s="2" t="s">
        <v>82</v>
      </c>
      <c r="B180" s="2" t="s">
        <v>518</v>
      </c>
      <c r="C180" s="2" t="s">
        <v>240</v>
      </c>
      <c r="D180" s="31" t="n">
        <v>46310</v>
      </c>
      <c r="E180" s="2" t="s">
        <v>514</v>
      </c>
      <c r="F180" s="2" t="s">
        <v>478</v>
      </c>
      <c r="G180" s="2" t="s">
        <v>15</v>
      </c>
      <c r="H180" s="2" t="s">
        <v>476</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456</v>
      </c>
    </row>
    <row r="181" customFormat="false" ht="15" hidden="false" customHeight="false" outlineLevel="0" collapsed="false">
      <c r="A181" s="2" t="s">
        <v>82</v>
      </c>
      <c r="B181" s="2" t="s">
        <v>96</v>
      </c>
      <c r="C181" s="2" t="s">
        <v>161</v>
      </c>
      <c r="D181" s="31" t="n">
        <v>46325</v>
      </c>
      <c r="E181" s="2" t="s">
        <v>477</v>
      </c>
      <c r="F181" s="2" t="s">
        <v>478</v>
      </c>
      <c r="G181" s="2" t="s">
        <v>161</v>
      </c>
      <c r="H181" s="2" t="s">
        <v>479</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480</v>
      </c>
      <c r="P181" s="2" t="s">
        <v>82</v>
      </c>
    </row>
    <row r="182" customFormat="false" ht="15" hidden="false" customHeight="false" outlineLevel="0" collapsed="false">
      <c r="A182" s="2" t="s">
        <v>83</v>
      </c>
      <c r="B182" s="2" t="s">
        <v>543</v>
      </c>
      <c r="C182" s="2" t="s">
        <v>237</v>
      </c>
      <c r="D182" s="31" t="n">
        <v>46218</v>
      </c>
      <c r="E182" s="2" t="s">
        <v>492</v>
      </c>
      <c r="F182" s="2" t="s">
        <v>484</v>
      </c>
      <c r="G182" s="2" t="s">
        <v>13</v>
      </c>
      <c r="H182" s="2" t="s">
        <v>476</v>
      </c>
      <c r="I182" s="16" t="n">
        <f aca="false">INDEX('Recurring Budgets'!$F$2:$F$125,MATCH(P182,'Recurring Budgets'!$A$2:$A$125,0))</f>
        <v>7.5833</v>
      </c>
      <c r="J182" s="16" t="n">
        <f aca="false">INDEX('Recurring Budgets'!$G$2:$G$125,MATCH(P182,'Recurring Budgets'!$A$2:$A$125,0))</f>
        <v>0.35</v>
      </c>
      <c r="K182" s="21" t="n">
        <f aca="false">I182+J182</f>
        <v>7.9333</v>
      </c>
      <c r="L182" s="2" t="n">
        <f aca="false">ROUND(K182*60,0)</f>
        <v>476</v>
      </c>
      <c r="M182" s="22" t="n">
        <f aca="false">INDEX('Recurring Budgets'!$M$2:$M$125,MATCH(P182,'Recurring Budgets'!$A$2:$A$125,0))</f>
        <v>807.9135</v>
      </c>
      <c r="N182" s="8" t="str">
        <f aca="false">INDEX('Recurring Budgets'!$P$2:$P$125,MATCH(P182,'Recurring Budgets'!$A$2:$A$125,0))</f>
        <v>Low – based on Valentina's hours</v>
      </c>
      <c r="O182" s="8" t="str">
        <f aca="false">INDEX('Recurring Budgets'!$Q$2:$Q$125,MATCH(P182,'Recurring Budgets'!$A$2:$A$125,0))</f>
        <v>Includes Month-end 6.5, Payroll 1.2. Review = 0.35h as logged (only 1 reviewed close(s) in Harvest – check).</v>
      </c>
      <c r="P182" s="2" t="s">
        <v>463</v>
      </c>
    </row>
    <row r="183" customFormat="false" ht="15" hidden="false" customHeight="false" outlineLevel="0" collapsed="false">
      <c r="A183" s="2" t="s">
        <v>83</v>
      </c>
      <c r="B183" s="2" t="s">
        <v>483</v>
      </c>
      <c r="C183" s="2" t="s">
        <v>237</v>
      </c>
      <c r="D183" s="31" t="n">
        <v>46315</v>
      </c>
      <c r="E183" s="2" t="s">
        <v>488</v>
      </c>
      <c r="F183" s="2" t="s">
        <v>484</v>
      </c>
      <c r="G183" s="2" t="s">
        <v>13</v>
      </c>
      <c r="H183" s="2" t="s">
        <v>476</v>
      </c>
      <c r="I183" s="16" t="n">
        <f aca="false">INDEX('Recurring Budgets'!$F$2:$F$125,MATCH(P183,'Recurring Budgets'!$A$2:$A$125,0))</f>
        <v>7.5833</v>
      </c>
      <c r="J183" s="16" t="n">
        <f aca="false">INDEX('Recurring Budgets'!$G$2:$G$125,MATCH(P183,'Recurring Budgets'!$A$2:$A$125,0))</f>
        <v>0.35</v>
      </c>
      <c r="K183" s="21" t="n">
        <f aca="false">I183+J183</f>
        <v>7.9333</v>
      </c>
      <c r="L183" s="2" t="n">
        <f aca="false">ROUND(K183*60,0)</f>
        <v>476</v>
      </c>
      <c r="M183" s="22" t="n">
        <f aca="false">INDEX('Recurring Budgets'!$M$2:$M$125,MATCH(P183,'Recurring Budgets'!$A$2:$A$125,0))</f>
        <v>807.9135</v>
      </c>
      <c r="N183" s="8" t="str">
        <f aca="false">INDEX('Recurring Budgets'!$P$2:$P$125,MATCH(P183,'Recurring Budgets'!$A$2:$A$125,0))</f>
        <v>Low – based on Valentina's hours</v>
      </c>
      <c r="O183" s="8" t="str">
        <f aca="false">INDEX('Recurring Budgets'!$Q$2:$Q$125,MATCH(P183,'Recurring Budgets'!$A$2:$A$125,0))</f>
        <v>Includes Month-end 6.5, Payroll 1.2. Review = 0.35h as logged (only 1 reviewed close(s) in Harvest – check).</v>
      </c>
      <c r="P183" s="2" t="s">
        <v>463</v>
      </c>
    </row>
    <row r="184" customFormat="false" ht="15" hidden="false" customHeight="false" outlineLevel="0" collapsed="false">
      <c r="A184" s="2" t="s">
        <v>83</v>
      </c>
      <c r="B184" s="2" t="s">
        <v>96</v>
      </c>
      <c r="C184" s="2" t="s">
        <v>161</v>
      </c>
      <c r="D184" s="31" t="n">
        <v>46325</v>
      </c>
      <c r="E184" s="2" t="s">
        <v>477</v>
      </c>
      <c r="F184" s="2" t="s">
        <v>478</v>
      </c>
      <c r="G184" s="2" t="s">
        <v>161</v>
      </c>
      <c r="H184" s="2" t="s">
        <v>479</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480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544</v>
      </c>
      <c r="B186" s="2"/>
      <c r="C186" s="2"/>
      <c r="D186" s="2"/>
      <c r="E186" s="2"/>
      <c r="F186" s="2"/>
      <c r="G186" s="2"/>
      <c r="H186" s="2"/>
      <c r="I186" s="4" t="n">
        <f aca="false">SUM(I2:I184)</f>
        <v>550.7293</v>
      </c>
      <c r="J186" s="4" t="n">
        <f aca="false">SUM(J2:J184)</f>
        <v>51.8331</v>
      </c>
      <c r="K186" s="4" t="n">
        <f aca="false">SUM(K2:K184)</f>
        <v>602.5624</v>
      </c>
      <c r="L186" s="4" t="n">
        <f aca="false">SUM(L2:L184)</f>
        <v>36158</v>
      </c>
      <c r="M186" s="32" t="n">
        <f aca="false">SUM(M2:M184)</f>
        <v>72381.7355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546</v>
      </c>
      <c r="C3" s="5" t="s">
        <v>547</v>
      </c>
      <c r="D3" s="5" t="s">
        <v>548</v>
      </c>
      <c r="E3" s="5" t="s">
        <v>549</v>
      </c>
      <c r="F3" s="5" t="s">
        <v>550</v>
      </c>
    </row>
    <row r="4" customFormat="false" ht="15" hidden="false" customHeight="false" outlineLevel="0" collapsed="false">
      <c r="A4" s="2" t="s">
        <v>11</v>
      </c>
      <c r="B4" s="34" t="n">
        <f aca="false">SUMIFS('Recurring Budgets'!$N$2:$N$125,'Recurring Budgets'!$B$2:$B$125,A4)</f>
        <v>0.916666666666667</v>
      </c>
      <c r="C4" s="34" t="n">
        <f aca="false">SUMIFS('Recurring Budgets'!$O$2:$O$125,'Recurring Budgets'!$B$2:$B$125,A4)</f>
        <v>0.7</v>
      </c>
      <c r="D4" s="35" t="n">
        <f aca="false">B4+C4</f>
        <v>1.61666666666667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2.66666666666667</v>
      </c>
      <c r="C7" s="34" t="n">
        <f aca="false">SUMIFS('Recurring Budgets'!$O$2:$O$125,'Recurring Budgets'!$B$2:$B$125,A7)</f>
        <v>0.7</v>
      </c>
      <c r="D7" s="35" t="n">
        <f aca="false">B7+C7</f>
        <v>3.36666666666667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0.7</v>
      </c>
      <c r="D8" s="35" t="n">
        <f aca="false">B8+C8</f>
        <v>1.94996666666667</v>
      </c>
      <c r="E8" s="25" t="s">
        <v>232</v>
      </c>
      <c r="F8" s="2"/>
    </row>
    <row r="9" customFormat="false" ht="15" hidden="false" customHeight="false" outlineLevel="0" collapsed="false">
      <c r="A9" s="2" t="s">
        <v>24</v>
      </c>
      <c r="B9" s="34" t="n">
        <f aca="false">SUMIFS('Recurring Budgets'!$N$2:$N$125,'Recurring Budgets'!$B$2:$B$125,A9)</f>
        <v>1.4167</v>
      </c>
      <c r="C9" s="34" t="n">
        <f aca="false">SUMIFS('Recurring Budgets'!$O$2:$O$125,'Recurring Budgets'!$B$2:$B$125,A9)</f>
        <v>0.7</v>
      </c>
      <c r="D9" s="35" t="n">
        <f aca="false">B9+C9</f>
        <v>2.1167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0.3833</v>
      </c>
      <c r="D10" s="35" t="n">
        <f aca="false">B10+C10</f>
        <v>1.2583</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0.4833</v>
      </c>
      <c r="D11" s="35" t="n">
        <f aca="false">B11+C11</f>
        <v>1.8583</v>
      </c>
      <c r="E11" s="27" t="s">
        <v>265</v>
      </c>
      <c r="F11" s="2" t="s">
        <v>551</v>
      </c>
    </row>
    <row r="12" customFormat="false" ht="15" hidden="false" customHeight="false" outlineLevel="0" collapsed="false">
      <c r="A12" s="2" t="s">
        <v>27</v>
      </c>
      <c r="B12" s="34" t="n">
        <f aca="false">SUMIFS('Recurring Budgets'!$N$2:$N$125,'Recurring Budgets'!$B$2:$B$125,A12)</f>
        <v>24.833225</v>
      </c>
      <c r="C12" s="34" t="n">
        <f aca="false">SUMIFS('Recurring Budgets'!$O$2:$O$125,'Recurring Budgets'!$B$2:$B$125,A12)</f>
        <v>1</v>
      </c>
      <c r="D12" s="35" t="n">
        <f aca="false">B12+C12</f>
        <v>25.833225</v>
      </c>
      <c r="E12" s="25" t="s">
        <v>232</v>
      </c>
      <c r="F12" s="2"/>
    </row>
    <row r="13" customFormat="false" ht="15" hidden="false" customHeight="false" outlineLevel="0" collapsed="false">
      <c r="A13" s="2" t="s">
        <v>31</v>
      </c>
      <c r="B13" s="34" t="n">
        <f aca="false">SUMIFS('Recurring Budgets'!$N$2:$N$125,'Recurring Budgets'!$B$2:$B$125,A13)</f>
        <v>1.41666666666667</v>
      </c>
      <c r="C13" s="34" t="n">
        <f aca="false">SUMIFS('Recurring Budgets'!$O$2:$O$125,'Recurring Budgets'!$B$2:$B$125,A13)</f>
        <v>0.5</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2.87496666666667</v>
      </c>
      <c r="C14" s="34" t="n">
        <f aca="false">SUMIFS('Recurring Budgets'!$O$2:$O$125,'Recurring Budgets'!$B$2:$B$125,A14)</f>
        <v>1.1</v>
      </c>
      <c r="D14" s="35" t="n">
        <f aca="false">B14+C14</f>
        <v>3.97496666666667</v>
      </c>
      <c r="E14" s="25" t="s">
        <v>232</v>
      </c>
      <c r="F14" s="2"/>
    </row>
    <row r="15" customFormat="false" ht="15" hidden="false" customHeight="false" outlineLevel="0" collapsed="false">
      <c r="A15" s="2" t="s">
        <v>33</v>
      </c>
      <c r="B15" s="34" t="n">
        <f aca="false">SUMIFS('Recurring Budgets'!$N$2:$N$125,'Recurring Budgets'!$B$2:$B$125,A15)</f>
        <v>7.1667</v>
      </c>
      <c r="C15" s="34" t="n">
        <f aca="false">SUMIFS('Recurring Budgets'!$O$2:$O$125,'Recurring Budgets'!$B$2:$B$125,A15)</f>
        <v>0.8</v>
      </c>
      <c r="D15" s="35" t="n">
        <f aca="false">B15+C15</f>
        <v>7.9667</v>
      </c>
      <c r="E15" s="25" t="s">
        <v>232</v>
      </c>
      <c r="F15" s="2"/>
    </row>
    <row r="16" customFormat="false" ht="15" hidden="false" customHeight="false" outlineLevel="0" collapsed="false">
      <c r="A16" s="2" t="s">
        <v>34</v>
      </c>
      <c r="B16" s="34" t="n">
        <f aca="false">SUMIFS('Recurring Budgets'!$N$2:$N$125,'Recurring Budgets'!$B$2:$B$125,A16)</f>
        <v>0.6667</v>
      </c>
      <c r="C16" s="34" t="n">
        <f aca="false">SUMIFS('Recurring Budgets'!$O$2:$O$125,'Recurring Budgets'!$B$2:$B$125,A16)</f>
        <v>0.5</v>
      </c>
      <c r="D16" s="35" t="n">
        <f aca="false">B16+C16</f>
        <v>1.1667</v>
      </c>
      <c r="E16" s="25" t="s">
        <v>232</v>
      </c>
      <c r="F16" s="2"/>
    </row>
    <row r="17" customFormat="false" ht="15" hidden="false" customHeight="false" outlineLevel="0" collapsed="false">
      <c r="A17" s="2" t="s">
        <v>35</v>
      </c>
      <c r="B17" s="34" t="n">
        <f aca="false">SUMIFS('Recurring Budgets'!$N$2:$N$125,'Recurring Budgets'!$B$2:$B$125,A17)</f>
        <v>3.58336666666667</v>
      </c>
      <c r="C17" s="34" t="n">
        <f aca="false">SUMIFS('Recurring Budgets'!$O$2:$O$125,'Recurring Budgets'!$B$2:$B$125,A17)</f>
        <v>1.25</v>
      </c>
      <c r="D17" s="35" t="n">
        <f aca="false">B17+C17</f>
        <v>4.83336666666667</v>
      </c>
      <c r="E17" s="25" t="s">
        <v>232</v>
      </c>
      <c r="F17" s="2"/>
    </row>
    <row r="18" customFormat="false" ht="15" hidden="false" customHeight="false" outlineLevel="0" collapsed="false">
      <c r="A18" s="2" t="s">
        <v>36</v>
      </c>
      <c r="B18" s="34" t="n">
        <f aca="false">SUMIFS('Recurring Budgets'!$N$2:$N$125,'Recurring Budgets'!$B$2:$B$125,A18)</f>
        <v>3.41666666666667</v>
      </c>
      <c r="C18" s="34" t="n">
        <f aca="false">SUMIFS('Recurring Budgets'!$O$2:$O$125,'Recurring Budgets'!$B$2:$B$125,A18)</f>
        <v>0.5</v>
      </c>
      <c r="D18" s="35" t="n">
        <f aca="false">B18+C18</f>
        <v>3.91666666666667</v>
      </c>
      <c r="E18" s="25" t="s">
        <v>232</v>
      </c>
      <c r="F18" s="2"/>
    </row>
    <row r="19" customFormat="false" ht="15" hidden="false" customHeight="false" outlineLevel="0" collapsed="false">
      <c r="A19" s="2" t="s">
        <v>37</v>
      </c>
      <c r="B19" s="34" t="n">
        <f aca="false">SUMIFS('Recurring Budgets'!$N$2:$N$125,'Recurring Budgets'!$B$2:$B$125,A19)</f>
        <v>7.9167</v>
      </c>
      <c r="C19" s="34" t="n">
        <f aca="false">SUMIFS('Recurring Budgets'!$O$2:$O$125,'Recurring Budgets'!$B$2:$B$125,A19)</f>
        <v>1.2</v>
      </c>
      <c r="D19" s="35" t="n">
        <f aca="false">B19+C19</f>
        <v>9.1167</v>
      </c>
      <c r="E19" s="25" t="s">
        <v>232</v>
      </c>
      <c r="F19" s="2" t="s">
        <v>552</v>
      </c>
    </row>
    <row r="20" customFormat="false" ht="15" hidden="false" customHeight="false" outlineLevel="0" collapsed="false">
      <c r="A20" s="2" t="s">
        <v>38</v>
      </c>
      <c r="B20" s="34" t="n">
        <f aca="false">SUMIFS('Recurring Budgets'!$N$2:$N$125,'Recurring Budgets'!$B$2:$B$125,A20)</f>
        <v>5.08336666666667</v>
      </c>
      <c r="C20" s="34" t="n">
        <f aca="false">SUMIFS('Recurring Budgets'!$O$2:$O$125,'Recurring Budgets'!$B$2:$B$125,A20)</f>
        <v>0.7</v>
      </c>
      <c r="D20" s="35" t="n">
        <f aca="false">B20+C20</f>
        <v>5.78336666666667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0.5</v>
      </c>
      <c r="D21" s="35" t="n">
        <f aca="false">B21+C21</f>
        <v>1.375</v>
      </c>
      <c r="E21" s="26" t="s">
        <v>262</v>
      </c>
      <c r="F21" s="2"/>
    </row>
    <row r="22" customFormat="false" ht="15" hidden="false" customHeight="false" outlineLevel="0" collapsed="false">
      <c r="A22" s="2" t="s">
        <v>40</v>
      </c>
      <c r="B22" s="34" t="n">
        <f aca="false">SUMIFS('Recurring Budgets'!$N$2:$N$125,'Recurring Budgets'!$B$2:$B$125,A22)</f>
        <v>6</v>
      </c>
      <c r="C22" s="34" t="n">
        <f aca="false">SUMIFS('Recurring Budgets'!$O$2:$O$125,'Recurring Budgets'!$B$2:$B$125,A22)</f>
        <v>0.4833</v>
      </c>
      <c r="D22" s="35" t="n">
        <f aca="false">B22+C22</f>
        <v>6.4833</v>
      </c>
      <c r="E22" s="28" t="s">
        <v>314</v>
      </c>
      <c r="F22" s="2"/>
    </row>
    <row r="23" customFormat="false" ht="15" hidden="false" customHeight="false" outlineLevel="0" collapsed="false">
      <c r="A23" s="2" t="s">
        <v>317</v>
      </c>
      <c r="B23" s="34" t="n">
        <f aca="false">SUMIFS('Recurring Budgets'!$N$2:$N$125,'Recurring Budgets'!$B$2:$B$125,A23)</f>
        <v>0</v>
      </c>
      <c r="C23" s="34" t="n">
        <f aca="false">SUMIFS('Recurring Budgets'!$O$2:$O$125,'Recurring Budgets'!$B$2:$B$125,A23)</f>
        <v>0</v>
      </c>
      <c r="D23" s="35" t="n">
        <f aca="false">B23+C23</f>
        <v>0</v>
      </c>
      <c r="E23" s="30" t="s">
        <v>318</v>
      </c>
      <c r="F23" s="2" t="s">
        <v>319</v>
      </c>
    </row>
    <row r="24" customFormat="false" ht="15" hidden="false" customHeight="false" outlineLevel="0" collapsed="false">
      <c r="A24" s="2" t="s">
        <v>41</v>
      </c>
      <c r="B24" s="34" t="n">
        <f aca="false">SUMIFS('Recurring Budgets'!$N$2:$N$125,'Recurring Budgets'!$B$2:$B$125,A24)</f>
        <v>5.75</v>
      </c>
      <c r="C24" s="34" t="n">
        <f aca="false">SUMIFS('Recurring Budgets'!$O$2:$O$125,'Recurring Budgets'!$B$2:$B$125,A24)</f>
        <v>1.75</v>
      </c>
      <c r="D24" s="35" t="n">
        <f aca="false">B24+C24</f>
        <v>7.5</v>
      </c>
      <c r="E24" s="26" t="s">
        <v>262</v>
      </c>
      <c r="F24" s="2" t="s">
        <v>553</v>
      </c>
    </row>
    <row r="25" customFormat="false" ht="15" hidden="false" customHeight="false" outlineLevel="0" collapsed="false">
      <c r="A25" s="2" t="s">
        <v>43</v>
      </c>
      <c r="B25" s="34" t="n">
        <f aca="false">SUMIFS('Recurring Budgets'!$N$2:$N$125,'Recurring Budgets'!$B$2:$B$125,A25)</f>
        <v>34.0276666666667</v>
      </c>
      <c r="C25" s="34" t="n">
        <f aca="false">SUMIFS('Recurring Budgets'!$O$2:$O$125,'Recurring Budgets'!$B$2:$B$125,A25)</f>
        <v>1.5</v>
      </c>
      <c r="D25" s="35" t="n">
        <f aca="false">B25+C25</f>
        <v>35.5276666666667</v>
      </c>
      <c r="E25" s="25" t="s">
        <v>232</v>
      </c>
      <c r="F25" s="2" t="s">
        <v>554</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6.49998333333333</v>
      </c>
      <c r="C27" s="34" t="n">
        <f aca="false">SUMIFS('Recurring Budgets'!$O$2:$O$125,'Recurring Budgets'!$B$2:$B$125,A27)</f>
        <v>0.0833333333333333</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318</v>
      </c>
      <c r="F28" s="2" t="s">
        <v>340</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0.3833</v>
      </c>
      <c r="D29" s="35" t="n">
        <f aca="false">B29+C29</f>
        <v>1.0083</v>
      </c>
      <c r="E29" s="26" t="s">
        <v>262</v>
      </c>
      <c r="F29" s="2"/>
    </row>
    <row r="30" customFormat="false" ht="15" hidden="false" customHeight="false" outlineLevel="0" collapsed="false">
      <c r="A30" s="2" t="s">
        <v>48</v>
      </c>
      <c r="B30" s="34" t="n">
        <f aca="false">SUMIFS('Recurring Budgets'!$N$2:$N$125,'Recurring Budgets'!$B$2:$B$125,A30)</f>
        <v>2.7084</v>
      </c>
      <c r="C30" s="34" t="n">
        <f aca="false">SUMIFS('Recurring Budgets'!$O$2:$O$125,'Recurring Budgets'!$B$2:$B$125,A30)</f>
        <v>0.3833</v>
      </c>
      <c r="D30" s="35" t="n">
        <f aca="false">B30+C30</f>
        <v>3.0917</v>
      </c>
      <c r="E30" s="27" t="s">
        <v>265</v>
      </c>
      <c r="F30" s="2" t="s">
        <v>555</v>
      </c>
    </row>
    <row r="31" customFormat="false" ht="15" hidden="false" customHeight="false" outlineLevel="0" collapsed="false">
      <c r="A31" s="2" t="s">
        <v>50</v>
      </c>
      <c r="B31" s="34" t="n">
        <f aca="false">SUMIFS('Recurring Budgets'!$N$2:$N$125,'Recurring Budgets'!$B$2:$B$125,A31)</f>
        <v>45.7499666666667</v>
      </c>
      <c r="C31" s="34" t="n">
        <f aca="false">SUMIFS('Recurring Budgets'!$O$2:$O$125,'Recurring Budgets'!$B$2:$B$125,A31)</f>
        <v>1.5</v>
      </c>
      <c r="D31" s="35" t="n">
        <f aca="false">B31+C31</f>
        <v>47.2499666666667</v>
      </c>
      <c r="E31" s="25" t="s">
        <v>232</v>
      </c>
      <c r="F31" s="2"/>
    </row>
    <row r="32" customFormat="false" ht="15" hidden="false" customHeight="false" outlineLevel="0" collapsed="false">
      <c r="A32" s="2" t="s">
        <v>52</v>
      </c>
      <c r="B32" s="34" t="n">
        <f aca="false">SUMIFS('Recurring Budgets'!$N$2:$N$125,'Recurring Budgets'!$B$2:$B$125,A32)</f>
        <v>3.5</v>
      </c>
      <c r="C32" s="34" t="n">
        <f aca="false">SUMIFS('Recurring Budgets'!$O$2:$O$125,'Recurring Budgets'!$B$2:$B$125,A32)</f>
        <v>0.7</v>
      </c>
      <c r="D32" s="35" t="n">
        <f aca="false">B32+C32</f>
        <v>4.2</v>
      </c>
      <c r="E32" s="25" t="s">
        <v>232</v>
      </c>
      <c r="F32" s="2"/>
    </row>
    <row r="33" customFormat="false" ht="15" hidden="false" customHeight="false" outlineLevel="0" collapsed="false">
      <c r="A33" s="2" t="s">
        <v>53</v>
      </c>
      <c r="B33" s="34" t="n">
        <f aca="false">SUMIFS('Recurring Budgets'!$N$2:$N$125,'Recurring Budgets'!$B$2:$B$125,A33)</f>
        <v>2.41666666666667</v>
      </c>
      <c r="C33" s="34" t="n">
        <f aca="false">SUMIFS('Recurring Budgets'!$O$2:$O$125,'Recurring Budgets'!$B$2:$B$125,A33)</f>
        <v>0.7</v>
      </c>
      <c r="D33" s="35" t="n">
        <f aca="false">B33+C33</f>
        <v>3.11666666666667</v>
      </c>
      <c r="E33" s="25" t="s">
        <v>232</v>
      </c>
      <c r="F33" s="2"/>
    </row>
    <row r="34" customFormat="false" ht="15" hidden="false" customHeight="false" outlineLevel="0" collapsed="false">
      <c r="A34" s="2" t="s">
        <v>54</v>
      </c>
      <c r="B34" s="34" t="n">
        <f aca="false">SUMIFS('Recurring Budgets'!$N$2:$N$125,'Recurring Budgets'!$B$2:$B$125,A34)</f>
        <v>8.0417</v>
      </c>
      <c r="C34" s="34" t="n">
        <f aca="false">SUMIFS('Recurring Budgets'!$O$2:$O$125,'Recurring Budgets'!$B$2:$B$125,A34)</f>
        <v>1.15285</v>
      </c>
      <c r="D34" s="35" t="n">
        <f aca="false">B34+C34</f>
        <v>9.19455</v>
      </c>
      <c r="E34" s="28" t="s">
        <v>378</v>
      </c>
      <c r="F34" s="2" t="s">
        <v>556</v>
      </c>
    </row>
    <row r="35" customFormat="false" ht="15" hidden="false" customHeight="false" outlineLevel="0" collapsed="false">
      <c r="A35" s="2" t="s">
        <v>58</v>
      </c>
      <c r="B35" s="34" t="n">
        <f aca="false">SUMIFS('Recurring Budgets'!$N$2:$N$125,'Recurring Budgets'!$B$2:$B$125,A35)</f>
        <v>0.8889</v>
      </c>
      <c r="C35" s="34" t="n">
        <f aca="false">SUMIFS('Recurring Budgets'!$O$2:$O$125,'Recurring Budgets'!$B$2:$B$125,A35)</f>
        <v>0.233333333333333</v>
      </c>
      <c r="D35" s="35" t="n">
        <f aca="false">B35+C35</f>
        <v>1.12223333333333</v>
      </c>
      <c r="E35" s="25" t="s">
        <v>232</v>
      </c>
      <c r="F35" s="2"/>
    </row>
    <row r="36" customFormat="false" ht="15" hidden="false" customHeight="false" outlineLevel="0" collapsed="false">
      <c r="A36" s="2" t="s">
        <v>61</v>
      </c>
      <c r="B36" s="34" t="n">
        <f aca="false">SUMIFS('Recurring Budgets'!$N$2:$N$125,'Recurring Budgets'!$B$2:$B$125,A36)</f>
        <v>6.965275</v>
      </c>
      <c r="C36" s="34" t="n">
        <f aca="false">SUMIFS('Recurring Budgets'!$O$2:$O$125,'Recurring Budgets'!$B$2:$B$125,A36)</f>
        <v>0.7</v>
      </c>
      <c r="D36" s="35" t="n">
        <f aca="false">B36+C36</f>
        <v>7.665275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2.49996666666667</v>
      </c>
      <c r="C39" s="34" t="n">
        <f aca="false">SUMIFS('Recurring Budgets'!$O$2:$O$125,'Recurring Budgets'!$B$2:$B$125,A39)</f>
        <v>1</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0.5</v>
      </c>
      <c r="D40" s="35" t="n">
        <f aca="false">B40+C40</f>
        <v>1.902775</v>
      </c>
      <c r="E40" s="25" t="s">
        <v>232</v>
      </c>
      <c r="F40" s="2" t="s">
        <v>557</v>
      </c>
    </row>
    <row r="41" customFormat="false" ht="15" hidden="false" customHeight="false" outlineLevel="0" collapsed="false">
      <c r="A41" s="2" t="s">
        <v>70</v>
      </c>
      <c r="B41" s="34" t="n">
        <f aca="false">SUMIFS('Recurring Budgets'!$N$2:$N$125,'Recurring Budgets'!$B$2:$B$125,A41)</f>
        <v>7.3125</v>
      </c>
      <c r="C41" s="34" t="n">
        <f aca="false">SUMIFS('Recurring Budgets'!$O$2:$O$125,'Recurring Budgets'!$B$2:$B$125,A41)</f>
        <v>1</v>
      </c>
      <c r="D41" s="35" t="n">
        <f aca="false">B41+C41</f>
        <v>8.3125</v>
      </c>
      <c r="E41" s="28" t="s">
        <v>314</v>
      </c>
      <c r="F41" s="2"/>
    </row>
    <row r="42" customFormat="false" ht="15" hidden="false" customHeight="false" outlineLevel="0" collapsed="false">
      <c r="A42" s="2" t="s">
        <v>71</v>
      </c>
      <c r="B42" s="34" t="n">
        <f aca="false">SUMIFS('Recurring Budgets'!$N$2:$N$125,'Recurring Budgets'!$B$2:$B$125,A42)</f>
        <v>6.16666666666667</v>
      </c>
      <c r="C42" s="34" t="n">
        <f aca="false">SUMIFS('Recurring Budgets'!$O$2:$O$125,'Recurring Budgets'!$B$2:$B$125,A42)</f>
        <v>1</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0.333333333333333</v>
      </c>
      <c r="C43" s="34" t="n">
        <f aca="false">SUMIFS('Recurring Budgets'!$O$2:$O$125,'Recurring Budgets'!$B$2:$B$125,A43)</f>
        <v>0.5</v>
      </c>
      <c r="D43" s="35" t="n">
        <f aca="false">B43+C43</f>
        <v>0.833333333333333</v>
      </c>
      <c r="E43" s="25" t="s">
        <v>232</v>
      </c>
      <c r="F43" s="2"/>
    </row>
    <row r="44" customFormat="false" ht="15" hidden="false" customHeight="false" outlineLevel="0" collapsed="false">
      <c r="A44" s="2" t="s">
        <v>73</v>
      </c>
      <c r="B44" s="34" t="n">
        <f aca="false">SUMIFS('Recurring Budgets'!$N$2:$N$125,'Recurring Budgets'!$B$2:$B$125,A44)</f>
        <v>2.04166666666667</v>
      </c>
      <c r="C44" s="34" t="n">
        <f aca="false">SUMIFS('Recurring Budgets'!$O$2:$O$125,'Recurring Budgets'!$B$2:$B$125,A44)</f>
        <v>0.5</v>
      </c>
      <c r="D44" s="35" t="n">
        <f aca="false">B44+C44</f>
        <v>2.54166666666667</v>
      </c>
      <c r="E44" s="28" t="s">
        <v>378</v>
      </c>
      <c r="F44" s="2" t="s">
        <v>558</v>
      </c>
    </row>
    <row r="45" customFormat="false" ht="15" hidden="false" customHeight="false" outlineLevel="0" collapsed="false">
      <c r="A45" s="2" t="s">
        <v>74</v>
      </c>
      <c r="B45" s="34" t="n">
        <f aca="false">SUMIFS('Recurring Budgets'!$N$2:$N$125,'Recurring Budgets'!$B$2:$B$125,A45)</f>
        <v>1.7083</v>
      </c>
      <c r="C45" s="34" t="n">
        <f aca="false">SUMIFS('Recurring Budgets'!$O$2:$O$125,'Recurring Budgets'!$B$2:$B$125,A45)</f>
        <v>0.4833</v>
      </c>
      <c r="D45" s="35" t="n">
        <f aca="false">B45+C45</f>
        <v>2.1916</v>
      </c>
      <c r="E45" s="28" t="s">
        <v>314</v>
      </c>
      <c r="F45" s="2" t="s">
        <v>559</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0.3833</v>
      </c>
      <c r="D46" s="35" t="n">
        <f aca="false">B46+C46</f>
        <v>1.2583</v>
      </c>
      <c r="E46" s="26" t="s">
        <v>262</v>
      </c>
      <c r="F46" s="2"/>
    </row>
    <row r="47" customFormat="false" ht="15" hidden="false" customHeight="false" outlineLevel="0" collapsed="false">
      <c r="A47" s="2" t="s">
        <v>76</v>
      </c>
      <c r="B47" s="34" t="n">
        <f aca="false">SUMIFS('Recurring Budgets'!$N$2:$N$125,'Recurring Budgets'!$B$2:$B$125,A47)</f>
        <v>24.875</v>
      </c>
      <c r="C47" s="34" t="n">
        <f aca="false">SUMIFS('Recurring Budgets'!$O$2:$O$125,'Recurring Budgets'!$B$2:$B$125,A47)</f>
        <v>2.125</v>
      </c>
      <c r="D47" s="35" t="n">
        <f aca="false">B47+C47</f>
        <v>27</v>
      </c>
      <c r="E47" s="28" t="s">
        <v>314</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0.6</v>
      </c>
      <c r="D48" s="35" t="n">
        <f aca="false">B48+C48</f>
        <v>1.35</v>
      </c>
      <c r="E48" s="26" t="s">
        <v>262</v>
      </c>
      <c r="F48" s="2"/>
    </row>
    <row r="49" customFormat="false" ht="15" hidden="false" customHeight="false" outlineLevel="0" collapsed="false">
      <c r="A49" s="2" t="s">
        <v>82</v>
      </c>
      <c r="B49" s="34" t="n">
        <f aca="false">SUMIFS('Recurring Budgets'!$N$2:$N$125,'Recurring Budgets'!$B$2:$B$125,A49)</f>
        <v>24.7917</v>
      </c>
      <c r="C49" s="34" t="n">
        <f aca="false">SUMIFS('Recurring Budgets'!$O$2:$O$125,'Recurring Budgets'!$B$2:$B$125,A49)</f>
        <v>2.225</v>
      </c>
      <c r="D49" s="35" t="n">
        <f aca="false">B49+C49</f>
        <v>27.0167</v>
      </c>
      <c r="E49" s="27" t="s">
        <v>265</v>
      </c>
      <c r="F49" s="2" t="s">
        <v>560</v>
      </c>
    </row>
    <row r="50" customFormat="false" ht="15" hidden="false" customHeight="false" outlineLevel="0" collapsed="false">
      <c r="A50" s="2" t="s">
        <v>83</v>
      </c>
      <c r="B50" s="34" t="n">
        <f aca="false">SUMIFS('Recurring Budgets'!$N$2:$N$125,'Recurring Budgets'!$B$2:$B$125,A50)</f>
        <v>2.77776666666667</v>
      </c>
      <c r="C50" s="34" t="n">
        <f aca="false">SUMIFS('Recurring Budgets'!$O$2:$O$125,'Recurring Budgets'!$B$2:$B$125,A50)</f>
        <v>0.116666666666667</v>
      </c>
      <c r="D50" s="35" t="n">
        <f aca="false">B50+C50</f>
        <v>2.89443333333333</v>
      </c>
      <c r="E50" s="28" t="s">
        <v>314</v>
      </c>
      <c r="F50" s="2"/>
    </row>
    <row r="51" customFormat="false" ht="15" hidden="false" customHeight="false" outlineLevel="0" collapsed="false">
      <c r="A51" s="4" t="s">
        <v>208</v>
      </c>
      <c r="B51" s="19" t="n">
        <f aca="false">SUM(B4:B50)</f>
        <v>275.200591666667</v>
      </c>
      <c r="C51" s="19" t="n">
        <f aca="false">SUM(C4:C50)</f>
        <v>32.4692833333333</v>
      </c>
      <c r="D51" s="19" t="n">
        <f aca="false">SUM(D4:D50)</f>
        <v>307.669875</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561</v>
      </c>
      <c r="B53" s="2"/>
      <c r="C53" s="18" t="n">
        <f aca="false">Assumptions!$B$32</f>
        <v>25</v>
      </c>
      <c r="D53" s="2"/>
      <c r="E53" s="2"/>
      <c r="F53" s="2"/>
    </row>
    <row r="54" customFormat="false" ht="15" hidden="false" customHeight="false" outlineLevel="0" collapsed="false">
      <c r="A54" s="4" t="s">
        <v>562</v>
      </c>
      <c r="B54" s="18" t="n">
        <f aca="false">Assumptions!$B$33</f>
        <v>10</v>
      </c>
      <c r="C54" s="2"/>
      <c r="D54" s="2"/>
      <c r="E54" s="2"/>
      <c r="F54" s="2"/>
    </row>
    <row r="55" customFormat="false" ht="15" hidden="false" customHeight="false" outlineLevel="0" collapsed="false">
      <c r="A55" s="4" t="s">
        <v>563</v>
      </c>
      <c r="B55" s="4" t="n">
        <f aca="false">B51+B54</f>
        <v>285.200591666667</v>
      </c>
      <c r="C55" s="4" t="n">
        <f aca="false">C51+C53</f>
        <v>57.4692833333333</v>
      </c>
      <c r="D55" s="4" t="n">
        <f aca="false">B55+C55</f>
        <v>342.669875</v>
      </c>
      <c r="E55" s="2"/>
      <c r="F55" s="2"/>
    </row>
    <row r="56" customFormat="false" ht="15" hidden="false" customHeight="false" outlineLevel="0" collapsed="false">
      <c r="A56" s="3" t="s">
        <v>564</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565</v>
      </c>
      <c r="B1" s="2"/>
      <c r="C1" s="2"/>
      <c r="D1" s="2"/>
      <c r="E1" s="2"/>
      <c r="F1" s="2"/>
      <c r="G1" s="2"/>
    </row>
    <row r="2" customFormat="false" ht="15" hidden="false" customHeight="false" outlineLevel="0" collapsed="false">
      <c r="A2" s="3" t="s">
        <v>566</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567</v>
      </c>
      <c r="B4" s="5" t="s">
        <v>568</v>
      </c>
      <c r="C4" s="5" t="s">
        <v>569</v>
      </c>
      <c r="D4" s="5" t="s">
        <v>570</v>
      </c>
      <c r="E4" s="5" t="s">
        <v>571</v>
      </c>
      <c r="F4" s="5" t="s">
        <v>572</v>
      </c>
      <c r="G4" s="5" t="s">
        <v>573</v>
      </c>
    </row>
    <row r="5" customFormat="false" ht="15" hidden="false" customHeight="false" outlineLevel="0" collapsed="false">
      <c r="A5" s="10" t="s">
        <v>574</v>
      </c>
      <c r="B5" s="9" t="n">
        <v>66</v>
      </c>
      <c r="C5" s="9" t="n">
        <v>1.4</v>
      </c>
      <c r="D5" s="9" t="n">
        <v>3.5</v>
      </c>
      <c r="E5" s="9" t="n">
        <v>9.6</v>
      </c>
      <c r="F5" s="9" t="n">
        <v>32.2</v>
      </c>
      <c r="G5" s="10" t="s">
        <v>575</v>
      </c>
    </row>
    <row r="6" customFormat="false" ht="15" hidden="false" customHeight="false" outlineLevel="0" collapsed="false">
      <c r="A6" s="10" t="s">
        <v>576</v>
      </c>
      <c r="B6" s="9" t="n">
        <v>48</v>
      </c>
      <c r="C6" s="9" t="n">
        <v>1.9</v>
      </c>
      <c r="D6" s="9" t="n">
        <v>4.8</v>
      </c>
      <c r="E6" s="9" t="n">
        <v>14.2</v>
      </c>
      <c r="F6" s="9" t="n">
        <v>57.8</v>
      </c>
      <c r="G6" s="10" t="s">
        <v>577</v>
      </c>
    </row>
    <row r="7" customFormat="false" ht="15" hidden="false" customHeight="false" outlineLevel="0" collapsed="false">
      <c r="A7" s="10" t="s">
        <v>578</v>
      </c>
      <c r="B7" s="9" t="n">
        <v>31</v>
      </c>
      <c r="C7" s="9" t="n">
        <v>2</v>
      </c>
      <c r="D7" s="9" t="n">
        <v>3.4</v>
      </c>
      <c r="E7" s="9" t="n">
        <v>9.5</v>
      </c>
      <c r="F7" s="9" t="n">
        <v>20</v>
      </c>
      <c r="G7" s="10" t="s">
        <v>579</v>
      </c>
    </row>
    <row r="8" customFormat="false" ht="15" hidden="false" customHeight="false" outlineLevel="0" collapsed="false">
      <c r="A8" s="10" t="s">
        <v>580</v>
      </c>
      <c r="B8" s="9" t="n">
        <v>28</v>
      </c>
      <c r="C8" s="9" t="n">
        <v>2.5</v>
      </c>
      <c r="D8" s="9" t="n">
        <v>4.4</v>
      </c>
      <c r="E8" s="9" t="n">
        <v>9.7</v>
      </c>
      <c r="F8" s="9" t="n">
        <v>22.1</v>
      </c>
      <c r="G8" s="10" t="s">
        <v>581</v>
      </c>
    </row>
    <row r="9" customFormat="false" ht="15" hidden="false" customHeight="false" outlineLevel="0" collapsed="false">
      <c r="A9" s="10" t="s">
        <v>582</v>
      </c>
      <c r="B9" s="9" t="n">
        <v>26</v>
      </c>
      <c r="C9" s="9" t="n">
        <v>2.7</v>
      </c>
      <c r="D9" s="9" t="n">
        <v>6.3</v>
      </c>
      <c r="E9" s="9" t="n">
        <v>13.6</v>
      </c>
      <c r="F9" s="9" t="n">
        <v>22.2</v>
      </c>
      <c r="G9" s="10" t="s">
        <v>583</v>
      </c>
    </row>
    <row r="10" customFormat="false" ht="15" hidden="false" customHeight="false" outlineLevel="0" collapsed="false">
      <c r="A10" s="10" t="s">
        <v>584</v>
      </c>
      <c r="B10" s="9" t="n">
        <v>12</v>
      </c>
      <c r="C10" s="9" t="n">
        <v>1.9</v>
      </c>
      <c r="D10" s="9" t="n">
        <v>3.6</v>
      </c>
      <c r="E10" s="9" t="n">
        <v>9.6</v>
      </c>
      <c r="F10" s="9" t="n">
        <v>14.4</v>
      </c>
      <c r="G10" s="10" t="s">
        <v>585</v>
      </c>
    </row>
    <row r="11" customFormat="false" ht="15" hidden="false" customHeight="false" outlineLevel="0" collapsed="false">
      <c r="A11" s="10" t="s">
        <v>586</v>
      </c>
      <c r="B11" s="9" t="n">
        <v>9</v>
      </c>
      <c r="C11" s="9" t="n">
        <v>0.2</v>
      </c>
      <c r="D11" s="9" t="n">
        <v>0.5</v>
      </c>
      <c r="E11" s="9" t="n">
        <v>1</v>
      </c>
      <c r="F11" s="9" t="n">
        <v>2.5</v>
      </c>
      <c r="G11" s="10" t="s">
        <v>587</v>
      </c>
    </row>
    <row r="12" customFormat="false" ht="15" hidden="false" customHeight="false" outlineLevel="0" collapsed="false">
      <c r="A12" s="10" t="s">
        <v>588</v>
      </c>
      <c r="B12" s="9" t="n">
        <v>9</v>
      </c>
      <c r="C12" s="9" t="n">
        <v>1</v>
      </c>
      <c r="D12" s="9" t="n">
        <v>2.7</v>
      </c>
      <c r="E12" s="9" t="n">
        <v>4.7</v>
      </c>
      <c r="F12" s="9" t="n">
        <v>10</v>
      </c>
      <c r="G12" s="10" t="s">
        <v>589</v>
      </c>
    </row>
    <row r="13" customFormat="false" ht="15" hidden="false" customHeight="false" outlineLevel="0" collapsed="false">
      <c r="A13" s="10" t="s">
        <v>590</v>
      </c>
      <c r="B13" s="9" t="n">
        <v>8</v>
      </c>
      <c r="C13" s="9" t="n">
        <v>0.5</v>
      </c>
      <c r="D13" s="9" t="n">
        <v>1.4</v>
      </c>
      <c r="E13" s="9" t="n">
        <v>1.9</v>
      </c>
      <c r="F13" s="9" t="n">
        <v>2.5</v>
      </c>
      <c r="G13" s="10" t="s">
        <v>591</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592</v>
      </c>
      <c r="B16" s="2"/>
      <c r="C16" s="2"/>
      <c r="D16" s="2"/>
      <c r="E16" s="2"/>
      <c r="F16" s="2"/>
      <c r="G16" s="2"/>
    </row>
    <row r="17" customFormat="false" ht="31.5" hidden="false" customHeight="true" outlineLevel="0" collapsed="false">
      <c r="A17" s="5" t="s">
        <v>593</v>
      </c>
      <c r="B17" s="5" t="s">
        <v>594</v>
      </c>
      <c r="C17" s="5" t="s">
        <v>595</v>
      </c>
      <c r="D17" s="2"/>
      <c r="E17" s="2"/>
      <c r="F17" s="2"/>
      <c r="G17" s="2"/>
    </row>
    <row r="18" customFormat="false" ht="15" hidden="false" customHeight="false" outlineLevel="0" collapsed="false">
      <c r="A18" s="2" t="s">
        <v>596</v>
      </c>
      <c r="B18" s="9" t="n">
        <v>0.5</v>
      </c>
      <c r="C18" s="2" t="s">
        <v>597</v>
      </c>
      <c r="D18" s="2"/>
      <c r="E18" s="2"/>
      <c r="F18" s="2"/>
      <c r="G18" s="2"/>
    </row>
    <row r="19" customFormat="false" ht="15" hidden="false" customHeight="false" outlineLevel="0" collapsed="false">
      <c r="A19" s="2" t="s">
        <v>598</v>
      </c>
      <c r="B19" s="9" t="n">
        <v>2.5</v>
      </c>
      <c r="C19" s="2" t="s">
        <v>599</v>
      </c>
      <c r="D19" s="2"/>
      <c r="E19" s="2"/>
      <c r="F19" s="2"/>
      <c r="G19" s="2"/>
    </row>
    <row r="20" customFormat="false" ht="15" hidden="false" customHeight="false" outlineLevel="0" collapsed="false">
      <c r="A20" s="2" t="s">
        <v>262</v>
      </c>
      <c r="B20" s="9" t="n">
        <v>5.5</v>
      </c>
      <c r="C20" s="2" t="s">
        <v>600</v>
      </c>
      <c r="D20" s="2"/>
      <c r="E20" s="2"/>
      <c r="F20" s="2"/>
      <c r="G20" s="2"/>
    </row>
    <row r="21" customFormat="false" ht="15" hidden="false" customHeight="false" outlineLevel="0" collapsed="false">
      <c r="A21" s="2" t="s">
        <v>601</v>
      </c>
      <c r="B21" s="9" t="s">
        <v>227</v>
      </c>
      <c r="C21" s="2" t="s">
        <v>602</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603</v>
      </c>
      <c r="B1" s="2"/>
      <c r="C1" s="2"/>
      <c r="D1" s="2"/>
      <c r="E1" s="2"/>
      <c r="F1" s="2"/>
      <c r="G1" s="2"/>
      <c r="H1" s="2"/>
      <c r="I1" s="2"/>
      <c r="J1" s="2"/>
      <c r="K1" s="2"/>
      <c r="L1" s="2"/>
      <c r="M1" s="2"/>
      <c r="N1" s="2"/>
      <c r="O1" s="2"/>
    </row>
    <row r="2" customFormat="false" ht="15" hidden="false" customHeight="false" outlineLevel="0" collapsed="false">
      <c r="A2" s="3" t="s">
        <v>604</v>
      </c>
      <c r="B2" s="2"/>
      <c r="C2" s="2"/>
      <c r="D2" s="2"/>
      <c r="E2" s="2"/>
      <c r="F2" s="2"/>
      <c r="G2" s="2"/>
      <c r="H2" s="2"/>
      <c r="I2" s="2"/>
      <c r="J2" s="2"/>
      <c r="K2" s="2"/>
      <c r="L2" s="2"/>
      <c r="M2" s="2"/>
      <c r="N2" s="2"/>
      <c r="O2" s="2"/>
    </row>
    <row r="3" customFormat="false" ht="31.5" hidden="false" customHeight="true" outlineLevel="0" collapsed="false">
      <c r="A3" s="5" t="s">
        <v>605</v>
      </c>
      <c r="B3" s="5" t="s">
        <v>606</v>
      </c>
      <c r="C3" s="5" t="s">
        <v>607</v>
      </c>
      <c r="D3" s="5" t="s">
        <v>608</v>
      </c>
      <c r="E3" s="5" t="s">
        <v>609</v>
      </c>
      <c r="F3" s="5" t="s">
        <v>610</v>
      </c>
      <c r="G3" s="5" t="s">
        <v>611</v>
      </c>
      <c r="H3" s="5" t="s">
        <v>612</v>
      </c>
      <c r="I3" s="5" t="s">
        <v>613</v>
      </c>
      <c r="J3" s="5" t="s">
        <v>614</v>
      </c>
      <c r="K3" s="5" t="s">
        <v>615</v>
      </c>
      <c r="L3" s="5" t="s">
        <v>616</v>
      </c>
      <c r="M3" s="5" t="s">
        <v>617</v>
      </c>
      <c r="N3" s="5" t="s">
        <v>618</v>
      </c>
      <c r="O3" s="5" t="s">
        <v>619</v>
      </c>
    </row>
    <row r="4" customFormat="false" ht="15" hidden="false" customHeight="false" outlineLevel="0" collapsed="false">
      <c r="A4" s="2" t="s">
        <v>11</v>
      </c>
      <c r="B4" s="2" t="s">
        <v>620</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621</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622</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620</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621</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622</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620</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621</v>
      </c>
      <c r="C11" s="35"/>
      <c r="D11" s="35"/>
      <c r="E11" s="35"/>
      <c r="F11" s="35" t="n">
        <v>1</v>
      </c>
      <c r="G11" s="35"/>
      <c r="H11" s="35"/>
      <c r="I11" s="35"/>
      <c r="J11" s="35"/>
      <c r="K11" s="35"/>
      <c r="L11" s="35"/>
      <c r="M11" s="35"/>
      <c r="N11" s="35"/>
      <c r="O11" s="2"/>
    </row>
    <row r="12" customFormat="false" ht="15" hidden="false" customHeight="false" outlineLevel="0" collapsed="false">
      <c r="A12" s="2"/>
      <c r="B12" s="2" t="s">
        <v>622</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620</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621</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622</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620</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621</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622</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620</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621</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622</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620</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621</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622</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620</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621</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622</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620</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621</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622</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620</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621</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622</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620</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621</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622</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620</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621</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622</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620</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621</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622</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620</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621</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622</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620</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621</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622</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620</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621</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622</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620</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621</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622</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620</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621</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622</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620</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621</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622</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620</v>
      </c>
      <c r="C61" s="35" t="n">
        <v>4.1</v>
      </c>
      <c r="D61" s="35" t="n">
        <v>5.7</v>
      </c>
      <c r="E61" s="35" t="n">
        <v>6.6</v>
      </c>
      <c r="F61" s="35" t="n">
        <v>3.95</v>
      </c>
      <c r="G61" s="35" t="n">
        <v>6</v>
      </c>
      <c r="H61" s="36" t="n">
        <v>16.41</v>
      </c>
      <c r="I61" s="36" t="n">
        <v>17.61</v>
      </c>
      <c r="J61" s="36" t="n">
        <v>13.06</v>
      </c>
      <c r="K61" s="36" t="n">
        <v>6.6</v>
      </c>
      <c r="L61" s="36" t="n">
        <v>7.75</v>
      </c>
      <c r="M61" s="36" t="n">
        <v>3</v>
      </c>
      <c r="N61" s="36" t="n">
        <v>2.5</v>
      </c>
      <c r="O61" s="2" t="s">
        <v>312</v>
      </c>
    </row>
    <row r="62" customFormat="false" ht="15" hidden="false" customHeight="false" outlineLevel="0" collapsed="false">
      <c r="A62" s="2"/>
      <c r="B62" s="2" t="s">
        <v>621</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622</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620</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621</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622</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620</v>
      </c>
      <c r="C67" s="35"/>
      <c r="D67" s="35" t="n">
        <v>0.25</v>
      </c>
      <c r="E67" s="35"/>
      <c r="F67" s="35" t="n">
        <v>1.55</v>
      </c>
      <c r="G67" s="35" t="n">
        <v>79.75</v>
      </c>
      <c r="H67" s="35" t="n">
        <v>127</v>
      </c>
      <c r="I67" s="35" t="n">
        <v>76</v>
      </c>
      <c r="J67" s="35" t="n">
        <v>19.55</v>
      </c>
      <c r="K67" s="36" t="n">
        <v>54.25</v>
      </c>
      <c r="L67" s="36" t="n">
        <v>46</v>
      </c>
      <c r="M67" s="36" t="n">
        <v>36.25</v>
      </c>
      <c r="N67" s="35" t="n">
        <v>10.25</v>
      </c>
      <c r="O67" s="2" t="s">
        <v>327</v>
      </c>
    </row>
    <row r="68" customFormat="false" ht="15" hidden="false" customHeight="false" outlineLevel="0" collapsed="false">
      <c r="A68" s="2"/>
      <c r="B68" s="2" t="s">
        <v>621</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622</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620</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621</v>
      </c>
      <c r="C71" s="35"/>
      <c r="D71" s="35"/>
      <c r="E71" s="35"/>
      <c r="F71" s="35"/>
      <c r="G71" s="35"/>
      <c r="H71" s="35"/>
      <c r="I71" s="35" t="n">
        <v>1</v>
      </c>
      <c r="J71" s="35"/>
      <c r="K71" s="35"/>
      <c r="L71" s="35"/>
      <c r="M71" s="35"/>
      <c r="N71" s="35"/>
      <c r="O71" s="2"/>
    </row>
    <row r="72" customFormat="false" ht="15" hidden="false" customHeight="false" outlineLevel="0" collapsed="false">
      <c r="A72" s="2"/>
      <c r="B72" s="2" t="s">
        <v>622</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623</v>
      </c>
      <c r="B73" s="2" t="s">
        <v>620</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621</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622</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620</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621</v>
      </c>
      <c r="C77" s="35"/>
      <c r="D77" s="35"/>
      <c r="E77" s="35"/>
      <c r="F77" s="35"/>
      <c r="G77" s="35"/>
      <c r="H77" s="35"/>
      <c r="I77" s="35"/>
      <c r="J77" s="35"/>
      <c r="K77" s="35"/>
      <c r="L77" s="35"/>
      <c r="M77" s="35"/>
      <c r="N77" s="35"/>
      <c r="O77" s="2"/>
    </row>
    <row r="78" customFormat="false" ht="15" hidden="false" customHeight="false" outlineLevel="0" collapsed="false">
      <c r="A78" s="2"/>
      <c r="B78" s="2" t="s">
        <v>622</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620</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318</v>
      </c>
    </row>
    <row r="80" customFormat="false" ht="15" hidden="false" customHeight="false" outlineLevel="0" collapsed="false">
      <c r="A80" s="2"/>
      <c r="B80" s="2" t="s">
        <v>621</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622</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620</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621</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622</v>
      </c>
      <c r="C84" s="35"/>
      <c r="D84" s="35"/>
      <c r="E84" s="35"/>
      <c r="F84" s="35" t="n">
        <v>0.35</v>
      </c>
      <c r="G84" s="35"/>
      <c r="H84" s="35"/>
      <c r="I84" s="35"/>
      <c r="J84" s="35"/>
      <c r="K84" s="35"/>
      <c r="L84" s="35"/>
      <c r="M84" s="35" t="n">
        <v>1</v>
      </c>
      <c r="N84" s="35"/>
      <c r="O84" s="2"/>
    </row>
    <row r="85" customFormat="false" ht="15" hidden="false" customHeight="false" outlineLevel="0" collapsed="false">
      <c r="A85" s="2" t="s">
        <v>624</v>
      </c>
      <c r="B85" s="2" t="s">
        <v>620</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621</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622</v>
      </c>
      <c r="C87" s="35"/>
      <c r="D87" s="35"/>
      <c r="E87" s="35"/>
      <c r="F87" s="35"/>
      <c r="G87" s="35"/>
      <c r="H87" s="35"/>
      <c r="I87" s="35"/>
      <c r="J87" s="35"/>
      <c r="K87" s="35"/>
      <c r="L87" s="35"/>
      <c r="M87" s="35"/>
      <c r="N87" s="35"/>
      <c r="O87" s="2"/>
    </row>
    <row r="88" customFormat="false" ht="15" hidden="false" customHeight="false" outlineLevel="0" collapsed="false">
      <c r="A88" s="2" t="s">
        <v>99</v>
      </c>
      <c r="B88" s="2" t="s">
        <v>620</v>
      </c>
      <c r="C88" s="35"/>
      <c r="D88" s="35"/>
      <c r="E88" s="35"/>
      <c r="F88" s="35"/>
      <c r="G88" s="35"/>
      <c r="H88" s="35"/>
      <c r="I88" s="35"/>
      <c r="J88" s="35"/>
      <c r="K88" s="35"/>
      <c r="L88" s="35"/>
      <c r="M88" s="36" t="n">
        <v>7.5</v>
      </c>
      <c r="N88" s="36" t="n">
        <v>8.9</v>
      </c>
      <c r="O88" s="2" t="s">
        <v>625</v>
      </c>
    </row>
    <row r="89" customFormat="false" ht="15" hidden="false" customHeight="false" outlineLevel="0" collapsed="false">
      <c r="A89" s="2"/>
      <c r="B89" s="2" t="s">
        <v>621</v>
      </c>
      <c r="C89" s="35"/>
      <c r="D89" s="35"/>
      <c r="E89" s="35"/>
      <c r="F89" s="35"/>
      <c r="G89" s="35"/>
      <c r="H89" s="35"/>
      <c r="I89" s="35"/>
      <c r="J89" s="35"/>
      <c r="K89" s="35"/>
      <c r="L89" s="35"/>
      <c r="M89" s="35"/>
      <c r="N89" s="35"/>
      <c r="O89" s="2"/>
    </row>
    <row r="90" customFormat="false" ht="15" hidden="false" customHeight="false" outlineLevel="0" collapsed="false">
      <c r="A90" s="2"/>
      <c r="B90" s="2" t="s">
        <v>622</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620</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621</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622</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620</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621</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622</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620</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621</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622</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620</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621</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622</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620</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621</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622</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620</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621</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622</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620</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621</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622</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620</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621</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622</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620</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621</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622</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620</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621</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622</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620</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621</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622</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620</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621</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622</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626</v>
      </c>
      <c r="B127" s="2" t="s">
        <v>620</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621</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622</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620</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621</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622</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620</v>
      </c>
      <c r="C133" s="35"/>
      <c r="D133" s="35" t="n">
        <v>0.75</v>
      </c>
      <c r="E133" s="35"/>
      <c r="F133" s="35" t="n">
        <v>0.35</v>
      </c>
      <c r="G133" s="35" t="n">
        <v>3.55</v>
      </c>
      <c r="H133" s="36" t="n">
        <v>1</v>
      </c>
      <c r="I133" s="36" t="n">
        <v>7</v>
      </c>
      <c r="J133" s="36" t="n">
        <v>1.5</v>
      </c>
      <c r="K133" s="36" t="n">
        <v>0.5</v>
      </c>
      <c r="L133" s="36" t="n">
        <v>10</v>
      </c>
      <c r="M133" s="36" t="n">
        <v>20.75</v>
      </c>
      <c r="N133" s="36" t="n">
        <v>22.5</v>
      </c>
      <c r="O133" s="2" t="s">
        <v>312</v>
      </c>
    </row>
    <row r="134" customFormat="false" ht="15" hidden="false" customHeight="false" outlineLevel="0" collapsed="false">
      <c r="A134" s="2"/>
      <c r="B134" s="2" t="s">
        <v>621</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622</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620</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621</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622</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620</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621</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622</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620</v>
      </c>
      <c r="C142" s="35"/>
      <c r="D142" s="35"/>
      <c r="E142" s="35"/>
      <c r="F142" s="35"/>
      <c r="G142" s="35"/>
      <c r="H142" s="35"/>
      <c r="I142" s="35"/>
      <c r="J142" s="35"/>
      <c r="K142" s="35"/>
      <c r="L142" s="35"/>
      <c r="M142" s="35"/>
      <c r="N142" s="36" t="n">
        <v>11.33</v>
      </c>
      <c r="O142" s="2" t="s">
        <v>627</v>
      </c>
    </row>
    <row r="143" customFormat="false" ht="15" hidden="false" customHeight="false" outlineLevel="0" collapsed="false">
      <c r="A143" s="2"/>
      <c r="B143" s="2" t="s">
        <v>621</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622</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620</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621</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622</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620</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621</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622</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620</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628</v>
      </c>
    </row>
    <row r="152" customFormat="false" ht="15" hidden="false" customHeight="false" outlineLevel="0" collapsed="false">
      <c r="A152" s="2"/>
      <c r="B152" s="2" t="s">
        <v>621</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622</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620</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621</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622</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629</v>
      </c>
      <c r="B1" s="5" t="s">
        <v>630</v>
      </c>
      <c r="C1" s="5" t="s">
        <v>631</v>
      </c>
    </row>
    <row r="2" customFormat="false" ht="15" hidden="false" customHeight="false" outlineLevel="0" collapsed="false">
      <c r="A2" s="2" t="n">
        <v>1</v>
      </c>
      <c r="B2" s="37" t="s">
        <v>632</v>
      </c>
      <c r="C2" s="37" t="s">
        <v>633</v>
      </c>
    </row>
    <row r="3" customFormat="false" ht="15" hidden="false" customHeight="false" outlineLevel="0" collapsed="false">
      <c r="A3" s="2" t="n">
        <v>2</v>
      </c>
      <c r="B3" s="37" t="s">
        <v>634</v>
      </c>
      <c r="C3" s="37" t="s">
        <v>635</v>
      </c>
    </row>
    <row r="4" customFormat="false" ht="26.85" hidden="false" customHeight="false" outlineLevel="0" collapsed="false">
      <c r="A4" s="2" t="n">
        <v>3</v>
      </c>
      <c r="B4" s="37" t="s">
        <v>636</v>
      </c>
      <c r="C4" s="37" t="s">
        <v>637</v>
      </c>
    </row>
    <row r="5" customFormat="false" ht="15" hidden="false" customHeight="false" outlineLevel="0" collapsed="false">
      <c r="A5" s="2" t="n">
        <v>4</v>
      </c>
      <c r="B5" s="37" t="s">
        <v>638</v>
      </c>
      <c r="C5" s="37" t="s">
        <v>639</v>
      </c>
    </row>
    <row r="6" customFormat="false" ht="15" hidden="false" customHeight="false" outlineLevel="0" collapsed="false">
      <c r="A6" s="2" t="n">
        <v>5</v>
      </c>
      <c r="B6" s="37" t="s">
        <v>640</v>
      </c>
      <c r="C6" s="37" t="s">
        <v>641</v>
      </c>
    </row>
    <row r="7" customFormat="false" ht="15" hidden="false" customHeight="false" outlineLevel="0" collapsed="false">
      <c r="A7" s="2" t="n">
        <v>6</v>
      </c>
      <c r="B7" s="37" t="s">
        <v>642</v>
      </c>
      <c r="C7" s="37" t="s">
        <v>643</v>
      </c>
    </row>
    <row r="8" customFormat="false" ht="15" hidden="false" customHeight="false" outlineLevel="0" collapsed="false">
      <c r="A8" s="2" t="n">
        <v>7</v>
      </c>
      <c r="B8" s="37" t="s">
        <v>644</v>
      </c>
      <c r="C8" s="37" t="s">
        <v>645</v>
      </c>
    </row>
    <row r="9" customFormat="false" ht="15" hidden="false" customHeight="false" outlineLevel="0" collapsed="false">
      <c r="A9" s="2" t="n">
        <v>8</v>
      </c>
      <c r="B9" s="37" t="s">
        <v>646</v>
      </c>
      <c r="C9" s="37" t="s">
        <v>647</v>
      </c>
    </row>
    <row r="10" customFormat="false" ht="26.85" hidden="false" customHeight="false" outlineLevel="0" collapsed="false">
      <c r="A10" s="2" t="n">
        <v>9</v>
      </c>
      <c r="B10" s="37" t="s">
        <v>648</v>
      </c>
      <c r="C10" s="37" t="s">
        <v>649</v>
      </c>
    </row>
    <row r="11" customFormat="false" ht="15" hidden="false" customHeight="false" outlineLevel="0" collapsed="false">
      <c r="A11" s="2" t="n">
        <v>10</v>
      </c>
      <c r="B11" s="37" t="s">
        <v>650</v>
      </c>
      <c r="C11" s="37" t="s">
        <v>651</v>
      </c>
    </row>
    <row r="12" customFormat="false" ht="15" hidden="false" customHeight="false" outlineLevel="0" collapsed="false">
      <c r="A12" s="2" t="n">
        <v>11</v>
      </c>
      <c r="B12" s="37" t="s">
        <v>652</v>
      </c>
      <c r="C12" s="37"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2026-10-01T23:42:35Z</dcterms:created>
  <dc:creator>openpyxl</dc:creator>
  <dc:description/>
  <dc:language>en-US</dc:language>
  <cp:lastModifiedBy/>
  <dcterms:modified xsi:type="dcterms:W3CDTF">2026-10-01T23:42:36Z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