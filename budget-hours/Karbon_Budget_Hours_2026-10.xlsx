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arbon Entry" sheetId="1" state="visible" r:id="rId3"/>
    <sheet name="Read Me" sheetId="2" state="visible" r:id="rId4"/>
    <sheet name="Assumptions" sheetId="3" state="visible" r:id="rId5"/>
    <sheet name="1099 Oct 30" sheetId="4" state="visible" r:id="rId6"/>
    <sheet name="Recurring Budgets" sheetId="5" state="visible" r:id="rId7"/>
    <sheet name="Open Items (Karbon)" sheetId="6" state="visible" r:id="rId8"/>
    <sheet name="Client Summary" sheetId="7" state="visible" r:id="rId9"/>
    <sheet name="Ad Hoc Sizes" sheetId="8" state="visible" r:id="rId10"/>
    <sheet name="Client History" sheetId="9" state="visible" r:id="rId11"/>
    <sheet name="To Confirm" sheetId="10" state="visible" r:id="rId12"/>
  </sheets>
  <definedNames>
    <definedName function="false" hidden="true" localSheetId="5" name="_xlnm._FilterDatabase" vbProcedure="false">'Open Items (Karbon)'!$A$1:$O$184</definedName>
    <definedName function="false" hidden="true" localSheetId="4" name="_xlnm._FilterDatabase" vbProcedure="false">'Recurring Budgets'!$B$1:$R$125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<sst xmlns="http://schemas.openxmlformats.org/spreadsheetml/2006/main" count="3826" uniqueCount="666">
  <si>
    <t xml:space="preserve">Enter in Karbon  (Time &amp; Budget → Add Budget Estimate)</t>
  </si>
  <si>
    <t xml:space="preserve">Enter ONE budget per recurring series (section 1) and per one-time item (section 3). Section 2 is planning only. Two separate estimates per item: WORK time (e.g. Staff Accountant · Bookkeeping) and REVIEW time (Reviewer · Review). Review is NOT included in Work.</t>
  </si>
  <si>
    <t xml:space="preserve">1. RECURRING WORK – set once on the recurring series; every future item gets it</t>
  </si>
  <si>
    <t xml:space="preserve">Client Name</t>
  </si>
  <si>
    <t xml:space="preserve">Work Item</t>
  </si>
  <si>
    <t xml:space="preserve">Repeats</t>
  </si>
  <si>
    <t xml:space="preserve">Work time (h:mm)</t>
  </si>
  <si>
    <t xml:space="preserve">Work $</t>
  </si>
  <si>
    <t xml:space="preserve">Review time (h:mm)</t>
  </si>
  <si>
    <t xml:space="preserve">Review $</t>
  </si>
  <si>
    <t xml:space="preserve">Work done by</t>
  </si>
  <si>
    <t xml:space="preserve">1402 W Victory LLC</t>
  </si>
  <si>
    <t xml:space="preserve">1099 Quarterly Review (ongoing, after Oct 30)</t>
  </si>
  <si>
    <t xml:space="preserve">Quarterly</t>
  </si>
  <si>
    <t xml:space="preserve">Month End Close</t>
  </si>
  <si>
    <t xml:space="preserve">Monthly</t>
  </si>
  <si>
    <t xml:space="preserve">15650 Northsight LLC</t>
  </si>
  <si>
    <t xml:space="preserve">Quarter End Close</t>
  </si>
  <si>
    <t xml:space="preserve">Quarterly Sales Tax Filing - Onyx Prepares the Returns for Client</t>
  </si>
  <si>
    <t xml:space="preserve">1915 NORTH 16TH STREET LLC</t>
  </si>
  <si>
    <t xml:space="preserve">Year-End Tax Coordination</t>
  </si>
  <si>
    <t xml:space="preserve">Annual</t>
  </si>
  <si>
    <t xml:space="preserve">3540 E Boot Track LLC</t>
  </si>
  <si>
    <t xml:space="preserve">4530 W Flint LLC</t>
  </si>
  <si>
    <t xml:space="preserve">7327 Tierra Buena LLC</t>
  </si>
  <si>
    <t xml:space="preserve">7730 Evans LLC</t>
  </si>
  <si>
    <t xml:space="preserve">909 MAIN LLC</t>
  </si>
  <si>
    <t xml:space="preserve">Amerisource HR Consulting Group LLC</t>
  </si>
  <si>
    <t xml:space="preserve">Adjusting Journal Entry Request</t>
  </si>
  <si>
    <t xml:space="preserve">Bookkeeping &amp; Bill Pay</t>
  </si>
  <si>
    <t xml:space="preserve">Weekly</t>
  </si>
  <si>
    <t xml:space="preserve">BSD Contracting LLC</t>
  </si>
  <si>
    <t xml:space="preserve">Barrett Living Trust</t>
  </si>
  <si>
    <t xml:space="preserve">BeckShar Development LLC</t>
  </si>
  <si>
    <t xml:space="preserve">BeckShar Diamond Commercial LLC</t>
  </si>
  <si>
    <t xml:space="preserve">BeckShar LLC</t>
  </si>
  <si>
    <t xml:space="preserve">Building and Development Professionals LLC</t>
  </si>
  <si>
    <t xml:space="preserve">Capital Financial LLC</t>
  </si>
  <si>
    <t xml:space="preserve">Catalpa Industrial Park Inc</t>
  </si>
  <si>
    <t xml:space="preserve">Desert Quail Creative Classroom LLC</t>
  </si>
  <si>
    <t xml:space="preserve">Educational Services Holdings LLC</t>
  </si>
  <si>
    <t xml:space="preserve">Educational Services LLC (dba ESI)</t>
  </si>
  <si>
    <t xml:space="preserve">Annual Audit Support</t>
  </si>
  <si>
    <t xml:space="preserve">Eight Eleven LLC</t>
  </si>
  <si>
    <t xml:space="preserve">Weekly Accounting Work</t>
  </si>
  <si>
    <t xml:space="preserve">FiveOliver LLC</t>
  </si>
  <si>
    <t xml:space="preserve">GAV Enterprises Inc</t>
  </si>
  <si>
    <t xml:space="preserve">KAMM ADGT LLC</t>
  </si>
  <si>
    <t xml:space="preserve">Little Moo's LLC</t>
  </si>
  <si>
    <t xml:space="preserve">Sales Tax Filing - Onyx Prepares the Returns for Client</t>
  </si>
  <si>
    <t xml:space="preserve">Midwest Contracting Inc</t>
  </si>
  <si>
    <t xml:space="preserve">Weekly Accounting</t>
  </si>
  <si>
    <t xml:space="preserve">Mohrschladt Capital LP</t>
  </si>
  <si>
    <t xml:space="preserve">Mohrschladt Howarth Associates Inc</t>
  </si>
  <si>
    <t xml:space="preserve">Mountain Trade Supply Inc</t>
  </si>
  <si>
    <t xml:space="preserve">Payroll Bi-Weekly 401K Payment</t>
  </si>
  <si>
    <t xml:space="preserve">Bi-weekly</t>
  </si>
  <si>
    <t xml:space="preserve">Run Payroll in Paychex</t>
  </si>
  <si>
    <t xml:space="preserve">Newport Classic Cars LLC</t>
  </si>
  <si>
    <t xml:space="preserve">Quarterly Month End Close</t>
  </si>
  <si>
    <t xml:space="preserve">Quarterly Sales Tax Returns - Onyx Prepares the Returns for Client</t>
  </si>
  <si>
    <t xml:space="preserve">Obsidian Real Estate LLC</t>
  </si>
  <si>
    <t xml:space="preserve">Monthly Reports and Bank Statements</t>
  </si>
  <si>
    <t xml:space="preserve">Paradise Village LLC</t>
  </si>
  <si>
    <t xml:space="preserve">Phil Tavasci Companies</t>
  </si>
  <si>
    <t xml:space="preserve">Daily Chase Fraud Review</t>
  </si>
  <si>
    <t xml:space="preserve">Daily</t>
  </si>
  <si>
    <t xml:space="preserve">Weekly Cash Review</t>
  </si>
  <si>
    <t xml:space="preserve">Preferred Renovations LLC</t>
  </si>
  <si>
    <t xml:space="preserve">Prestige Arms Worldwide</t>
  </si>
  <si>
    <t xml:space="preserve">Prime Solar USA LLC</t>
  </si>
  <si>
    <t xml:space="preserve">Rancho Industrial Park Inc</t>
  </si>
  <si>
    <t xml:space="preserve">SW Art Glass Inc</t>
  </si>
  <si>
    <t xml:space="preserve">Southwest Rents Inc</t>
  </si>
  <si>
    <t xml:space="preserve">T5 Family Holdings LLC</t>
  </si>
  <si>
    <t xml:space="preserve">Tavasci Brothers Motorsports LLC</t>
  </si>
  <si>
    <t xml:space="preserve">VV1012 LLC</t>
  </si>
  <si>
    <t xml:space="preserve">Bi-Weekly QuickBooks Payroll Processing</t>
  </si>
  <si>
    <t xml:space="preserve">Sales Tax Filing</t>
  </si>
  <si>
    <t xml:space="preserve">Weekly Bank Settlements - From Toast</t>
  </si>
  <si>
    <t xml:space="preserve">Weekly Cash Flow Review</t>
  </si>
  <si>
    <t xml:space="preserve">VVI 1017 LLC</t>
  </si>
  <si>
    <t xml:space="preserve">VVNS LLC</t>
  </si>
  <si>
    <t xml:space="preserve">Young Wealth Management PLLC</t>
  </si>
  <si>
    <t xml:space="preserve">2. WHAT TO EXPECT THIS CYCLE – planning only, nothing to enter</t>
  </si>
  <si>
    <t xml:space="preserve">These open items already exist and use the recurring budget from section 1. This cycle is expected to run over (catch-up) or under – plan capacity for the difference.</t>
  </si>
  <si>
    <t xml:space="preserve">Work Item (this cycle)</t>
  </si>
  <si>
    <t xml:space="preserve">Why</t>
  </si>
  <si>
    <t xml:space="preserve">Recurring budget – work + review (h:mm)</t>
  </si>
  <si>
    <t xml:space="preserve">Expected this cycle (h:mm)</t>
  </si>
  <si>
    <t xml:space="preserve">Expected extra (hrs)</t>
  </si>
  <si>
    <t xml:space="preserve">1099 Quarterly Review – Q3, due Oct 30, 2026</t>
  </si>
  <si>
    <t xml:space="preserve">Q3 catch-up: not started in Q2, so this review covers Jan–Sep</t>
  </si>
  <si>
    <t xml:space="preserve">1099 Quarterly Review – Q2, overdue (was due Aug 31) – remaining steps only</t>
  </si>
  <si>
    <t xml:space="preserve">Q2 overdue – only the remaining steps</t>
  </si>
  <si>
    <t xml:space="preserve">Jan 2026 Month End Close</t>
  </si>
  <si>
    <t xml:space="preserve">Catch-up month (backlog) – runs over until the process is set</t>
  </si>
  <si>
    <t xml:space="preserve">Feb 2026 Month End Close</t>
  </si>
  <si>
    <t xml:space="preserve">Mar 2026 Month End Close</t>
  </si>
  <si>
    <t xml:space="preserve">Apr 2026 Month End Close</t>
  </si>
  <si>
    <t xml:space="preserve">May 2026 Month End Close</t>
  </si>
  <si>
    <t xml:space="preserve">Jun 2026 Month End Close</t>
  </si>
  <si>
    <t xml:space="preserve">Jul 2026 Month End Close</t>
  </si>
  <si>
    <t xml:space="preserve">Total expected extra hours this cycle</t>
  </si>
  <si>
    <t xml:space="preserve">3. ONE-TIME WORK ALREADY OPEN – enter on the item itself (these have no recurring series)</t>
  </si>
  <si>
    <t xml:space="preserve">Each of these appears only once on this tab.</t>
  </si>
  <si>
    <t xml:space="preserve">BeckShar Companies</t>
  </si>
  <si>
    <t xml:space="preserve">Clean up Project - Review Scope of Work</t>
  </si>
  <si>
    <t xml:space="preserve">One-time</t>
  </si>
  <si>
    <t xml:space="preserve">Staff</t>
  </si>
  <si>
    <t xml:space="preserve">Bjerk Builders LLC</t>
  </si>
  <si>
    <t xml:space="preserve">Client Check-in Sep 13, 2026</t>
  </si>
  <si>
    <t xml:space="preserve">Client Check-in Sep 28, 2026</t>
  </si>
  <si>
    <t xml:space="preserve">2025 Clean up - Create WIP</t>
  </si>
  <si>
    <t xml:space="preserve">2026 Budget Fix</t>
  </si>
  <si>
    <t xml:space="preserve">AR &amp; AP Cleanup</t>
  </si>
  <si>
    <t xml:space="preserve">Month End Close Clean up Jan 2026</t>
  </si>
  <si>
    <t xml:space="preserve">Korman LLC</t>
  </si>
  <si>
    <t xml:space="preserve">2024 Review - Work Through Open Items</t>
  </si>
  <si>
    <t xml:space="preserve">Month End Close Clean up July 2026</t>
  </si>
  <si>
    <t xml:space="preserve">Tax Audit</t>
  </si>
  <si>
    <t xml:space="preserve">Cost Segregration Studies</t>
  </si>
  <si>
    <t xml:space="preserve">Line of Credit Procurement</t>
  </si>
  <si>
    <t xml:space="preserve">Inventory Count - In Person</t>
  </si>
  <si>
    <t xml:space="preserve">Work $ uses the Staff rate unless "Work done by" = CFO (e.g. ESI, BDP, Mountain Trade payroll). Rates are on the Assumptions tab. IAG is left out (in-house, on hold); SW Art Glass 1099 is not applicable – consider closing that Karbon item. Other open items already created from a recurring series (e.g. Aug/Sep 2026 Month End Close) are not listed here: after you set the series budget, open one existing item to see whether Karbon carried it over. If not, they are listed one by one on the Open Items (Karbon) tab with the same numbers as section 1.</t>
  </si>
  <si>
    <t xml:space="preserve">Karbon Budget Hours – Onyx Accounting Group</t>
  </si>
  <si>
    <t xml:space="preserve">Built Oct 1, 2026 from the 44 client billing sheets (history to Mar 2026) and the Harvest export (Dec 29, 2025 – Oct 2, 2026).</t>
  </si>
  <si>
    <t xml:space="preserve">Budgets are per WORK ITEM, not per person. CFO review is part of month-end but carried as its own number.</t>
  </si>
  <si>
    <t xml:space="preserve">HOW TO LOAD INTO KARBON – use the Karbon Entry tab (first tab). Everything else is supporting detail.</t>
  </si>
  <si>
    <t xml:space="preserve">1. Recurring work: open each recurring series in Karbon and enter "Budget (Minutes)" from the Recurring Budgets tab. Future instances inherit it.</t>
  </si>
  <si>
    <t xml:space="preserve">2. Open work already created: use the Open Items (Karbon) tab – one row per open item, matching Karbon Client Name and Work Title exactly.</t>
  </si>
  <si>
    <t xml:space="preserve">3. If Karbon lets you split a budget by role/task, enter Work minutes and CFO Review minutes separately; otherwise enter Budget (Minutes) (the total).</t>
  </si>
  <si>
    <t xml:space="preserve">TABS</t>
  </si>
  <si>
    <t xml:space="preserve">Assumptions – billing rates, occurrences per month, 1099 sizes and factors, ad hoc reserve. Change a blue cell and every tab updates.</t>
  </si>
  <si>
    <t xml:space="preserve">Recurring Budgets – one row per client × recurring work series: budget per occurrence.</t>
  </si>
  <si>
    <t xml:space="preserve">Open Items (Karbon) – every open item from the Oct 1 Karbon list with its budget (pulled from the other tabs by formula).</t>
  </si>
  <si>
    <t xml:space="preserve">1099 Oct 30 – the Q3 1099 review cycle, sized by client complexity and Q2 status.</t>
  </si>
  <si>
    <t xml:space="preserve">Client Summary – monthly equivalent hours per client (Work vs CFO review) for capacity planning.</t>
  </si>
  <si>
    <t xml:space="preserve">Ad Hoc Sizes – typical project sizes from timesheet history, for budgeting new ad hoc items.</t>
  </si>
  <si>
    <t xml:space="preserve">Client History – monthly hours per client, Oct 2025 – Sep 2026, so you can check any budget against what happened.</t>
  </si>
  <si>
    <t xml:space="preserve">To Confirm – open questions that would change a budget.</t>
  </si>
  <si>
    <t xml:space="preserve">COLOUR KEY</t>
  </si>
  <si>
    <t xml:space="preserve">Blue text = an input you can change (estimate or assumption).</t>
  </si>
  <si>
    <t xml:space="preserve">Black text = formula.</t>
  </si>
  <si>
    <t xml:space="preserve">Green text = formula pulling from another tab.</t>
  </si>
  <si>
    <t xml:space="preserve">CONFIDENCE</t>
  </si>
  <si>
    <t xml:space="preserve">High – steady recent history (after cleanup ended, by the agreed rule).</t>
  </si>
  <si>
    <t xml:space="preserve">Medium – reference-based (e.g. Josephine's Apr–May closes for clients Valentina later ran) or derived from another client's history.</t>
  </si>
  <si>
    <t xml:space="preserve">Low – based mainly on Valentina's hours (ran ~3× for the same steps) or catch-up still underway. Revisit after the next owner's first 1–2 closes.</t>
  </si>
  <si>
    <t xml:space="preserve">Provisional – client is opening/changing (VVNS, Little Moo's, 909 Main). Revisit after 2–3 months in the new form.</t>
  </si>
  <si>
    <t xml:space="preserve">Estimate – one-time items, 1099s and year-end placeholders sized from catalog/tier rules. Check against your judgment.</t>
  </si>
  <si>
    <t xml:space="preserve">Excluded – IAG (in-house, on hold). No budget set.</t>
  </si>
  <si>
    <t xml:space="preserve">METHOD (agreed in review)</t>
  </si>
  <si>
    <t xml:space="preserve">• Hours worked (not billed); billable client time only; duplicates between billing sheets and Harvest counted once.</t>
  </si>
  <si>
    <t xml:space="preserve">• Baseline months: Feb–Sep 2026 (Lisa Danforth at full load from Feb). For clients the contractor (Lisa Wojcik) worked, from Apr 2026 (her hours under-recorded).</t>
  </si>
  <si>
    <t xml:space="preserve">• Cleanup end rule: the most recent run of 3 months within ±20% of each other (or ±0.75h for small clients); earlier months within that band are added. Budget = median month of that run. If no run qualifies, median of the last 6 months.</t>
  </si>
  <si>
    <t xml:space="preserve">• Cleanup/catch-up, ad hoc, 1099 and year-end hours are taken out of monthly budgets and budgeted on their own items.</t>
  </si>
  <si>
    <t xml:space="preserve">• Quarterly-close clients: average of Apr–Sep 2026 × 3 (their work lands in one month of three).</t>
  </si>
  <si>
    <t xml:space="preserve">• Where a client has no separate Payroll / Sales tax / Weekly item, that time is included in its Month End Close budget (the Basis column lists the parts).</t>
  </si>
  <si>
    <t xml:space="preserve">Assumptions (blue cells are inputs)</t>
  </si>
  <si>
    <t xml:space="preserve">Billing rates</t>
  </si>
  <si>
    <t xml:space="preserve">Staff work rate ($/hr)</t>
  </si>
  <si>
    <t xml:space="preserve">Harvest: Staff Accountant standard rate (Christine/Valentina/Josephine $95).</t>
  </si>
  <si>
    <t xml:space="preserve">CFO rate ($/hr)</t>
  </si>
  <si>
    <t xml:space="preserve">Harvest: CFO standard rate (Steven/Lisa Danforth $250).</t>
  </si>
  <si>
    <t xml:space="preserve">Occurrences per month</t>
  </si>
  <si>
    <t xml:space="preserve">One quarter-end per 3 months</t>
  </si>
  <si>
    <t xml:space="preserve">52 weeks ÷ 12</t>
  </si>
  <si>
    <t xml:space="preserve">26 pay periods ÷ 12</t>
  </si>
  <si>
    <t xml:space="preserve">Every day incl. weekends (Daily Chase Fraud Review)</t>
  </si>
  <si>
    <t xml:space="preserve">1099</t>
  </si>
  <si>
    <t xml:space="preserve">Quarterly 1099 review</t>
  </si>
  <si>
    <t xml:space="preserve">1099 full review size (hrs, steps 1–7, Jan–Sep catch-up)</t>
  </si>
  <si>
    <t xml:space="preserve">Simple</t>
  </si>
  <si>
    <t xml:space="preserve">Valentina's Q2 entries: 0.75h for steps 1–3 on small clients.</t>
  </si>
  <si>
    <t xml:space="preserve">Standard</t>
  </si>
  <si>
    <t xml:space="preserve">Q2 entries 1.0–1.5h (vendor list prep).</t>
  </si>
  <si>
    <t xml:space="preserve">Complex</t>
  </si>
  <si>
    <t xml:space="preserve">2024 cycle for property/contractor clients ran ~2–6h/yr (billing sheets).</t>
  </si>
  <si>
    <t xml:space="preserve">Small property</t>
  </si>
  <si>
    <t xml:space="preserve">Josephine: 2h quarterly was overstated by 30–60 min for the small property LLCs (1402 W Victory, 15650 Northsight, 3540 E Boot Track, 7327 Tierra Buena; 4530 W Flint added as same type). Ongoing = 1:15.</t>
  </si>
  <si>
    <t xml:space="preserve">1099 Q2-status factor (Oct 30 cycle)</t>
  </si>
  <si>
    <t xml:space="preserve">Completed</t>
  </si>
  <si>
    <t xml:space="preserve">Only the Q3 increment is needed.</t>
  </si>
  <si>
    <t xml:space="preserve">Partly done (3 of 7)</t>
  </si>
  <si>
    <t xml:space="preserve">Josephine: heavy lifting (steps 1–3) was done in Q2 – Q3 only adds new vendors, same as Completed.</t>
  </si>
  <si>
    <t xml:space="preserve">Not started</t>
  </si>
  <si>
    <t xml:space="preserve">Full Jan–Sep review.</t>
  </si>
  <si>
    <t xml:space="preserve">Not applicable</t>
  </si>
  <si>
    <t xml:space="preserve">Excluded (in-house)</t>
  </si>
  <si>
    <t xml:space="preserve">IAG</t>
  </si>
  <si>
    <t xml:space="preserve">Ongoing quarterly 1099 (after Oct 30)</t>
  </si>
  <si>
    <t xml:space="preserve">Share of a full review needed each later quarter (3 months of new vendors).</t>
  </si>
  <si>
    <t xml:space="preserve">Ad hoc reserve (capacity planning, hrs/month)</t>
  </si>
  <si>
    <t xml:space="preserve">CFO</t>
  </si>
  <si>
    <t xml:space="preserve">Floor of CFO ad hoc time Feb–Sep 2026 (excl. IAG/ESI). Spikes come from known clients and are budgeted as Large items.</t>
  </si>
  <si>
    <t xml:space="preserve">Staff / controller</t>
  </si>
  <si>
    <t xml:space="preserve">Typical staff ad hoc time Feb–Sep 2026; quiet months 3–7h.</t>
  </si>
  <si>
    <t xml:space="preserve">1099 Quarterly Review – Oct 30, 2026 cycle</t>
  </si>
  <si>
    <t xml:space="preserve">Tier and Q2 status are inputs (blue). Budget = full review size for the tier × Q2-status factor (Assumptions tab).</t>
  </si>
  <si>
    <t xml:space="preserve">Complexity tier</t>
  </si>
  <si>
    <t xml:space="preserve">Q2 status (Karbon)</t>
  </si>
  <si>
    <t xml:space="preserve">Full review size (hrs)</t>
  </si>
  <si>
    <t xml:space="preserve">Q2-status factor</t>
  </si>
  <si>
    <t xml:space="preserve">Oct 30 budget (hrs)</t>
  </si>
  <si>
    <t xml:space="preserve">Oct 30 budget (Minutes)</t>
  </si>
  <si>
    <t xml:space="preserve">Ongoing quarterly (hrs)</t>
  </si>
  <si>
    <t xml:space="preserve">1099 hrs logged Jul–Sep 2026 (info)</t>
  </si>
  <si>
    <t xml:space="preserve">Notes</t>
  </si>
  <si>
    <t xml:space="preserve">Q2 completed Jul 21 (dropped off queue after 60 days).</t>
  </si>
  <si>
    <t xml:space="preserve">Q2 showed 8 of 8 but marked Cancelled – treated as completed (confirm).</t>
  </si>
  <si>
    <t xml:space="preserve">Q2 waiting for client (steps 4–6) – may carry over.</t>
  </si>
  <si>
    <t xml:space="preserve">Karbon 0 of 7, but 1.0h logged Sept 25.</t>
  </si>
  <si>
    <t xml:space="preserve">International Alliance Group LLC</t>
  </si>
  <si>
    <t xml:space="preserve">In-house – excluded.</t>
  </si>
  <si>
    <t xml:space="preserve">No Q2 item – new for Q3.</t>
  </si>
  <si>
    <t xml:space="preserve">Q2 completed Jul 22 (dropped off queue after 60 days).</t>
  </si>
  <si>
    <t xml:space="preserve">Karbon 0 of 7, but 2.5h logged Aug 27–28 (vendor list prepared).</t>
  </si>
  <si>
    <t xml:space="preserve">TOTAL</t>
  </si>
  <si>
    <t xml:space="preserve">Not included: the January filing step (finalize, e-file, send forms) – historically ~0.2–0.5h per client; budget it as its own item in January.</t>
  </si>
  <si>
    <t xml:space="preserve">Lookup key</t>
  </si>
  <si>
    <t xml:space="preserve">Work Type</t>
  </si>
  <si>
    <t xml:space="preserve">Work Item (recurring series)</t>
  </si>
  <si>
    <t xml:space="preserve">Work (hrs / occurrence)</t>
  </si>
  <si>
    <t xml:space="preserve">CFO Review (hrs / occurrence)</t>
  </si>
  <si>
    <t xml:space="preserve">Total (hrs / occurrence)</t>
  </si>
  <si>
    <t xml:space="preserve">Budget (Minutes)</t>
  </si>
  <si>
    <t xml:space="preserve">Work (Minutes)</t>
  </si>
  <si>
    <t xml:space="preserve">CFO Review (Minutes)</t>
  </si>
  <si>
    <t xml:space="preserve">Work rate</t>
  </si>
  <si>
    <t xml:space="preserve">Budget (USD)</t>
  </si>
  <si>
    <t xml:space="preserve">Monthly equivalent – Work (hrs)</t>
  </si>
  <si>
    <t xml:space="preserve">Monthly equivalent – CFO Review (hrs)</t>
  </si>
  <si>
    <t xml:space="preserve">Confidence</t>
  </si>
  <si>
    <t xml:space="preserve">Basis / notes</t>
  </si>
  <si>
    <t xml:space="preserve">Baseline months used</t>
  </si>
  <si>
    <t xml:space="preserve">1402 W Victory LLC|1099|1099 Quarterly Review|1099</t>
  </si>
  <si>
    <t xml:space="preserve">1099 Quarterly Review</t>
  </si>
  <si>
    <t xml:space="preserve">Estimate</t>
  </si>
  <si>
    <t xml:space="preserve">1099 tier Small property: ongoing quarterly review (half a full review). See 1099 tab for the Oct 30 cycle.</t>
  </si>
  <si>
    <t xml:space="preserve">Settled from 2026-06 (2026-06 – 2026-09)</t>
  </si>
  <si>
    <t xml:space="preserve">1402 W Victory LLC|Monthly Financials|Month End Close|Monthly</t>
  </si>
  <si>
    <t xml:space="preserve">Monthly Financials</t>
  </si>
  <si>
    <t xml:space="preserve">High</t>
  </si>
  <si>
    <t xml:space="preserve">Includes Month-end 0.7. Review = median of 7 closes reviewed in Harvest (0.70h).</t>
  </si>
  <si>
    <t xml:space="preserve">15650 Northsight LLC|1099|1099 Quarterly Review|1099</t>
  </si>
  <si>
    <t xml:space="preserve">Quarterly client – average of Apr–Sep 2026 (2026-04 – 2026-09)</t>
  </si>
  <si>
    <t xml:space="preserve">15650 Northsight LLC|Accounting|Quarter End Close|Quarterly</t>
  </si>
  <si>
    <t xml:space="preserve">Accounting</t>
  </si>
  <si>
    <t xml:space="preserve">Includes Month-end 0.5. Review = 1.25h as logged (only 2 reviewed close(s) in Harvest – check).</t>
  </si>
  <si>
    <t xml:space="preserve">15650 Northsight LLC|Sales tax|Quarterly Sales Tax Filing - Onyx Prepares the Returns for Client|Quarterly</t>
  </si>
  <si>
    <t xml:space="preserve">Sales tax</t>
  </si>
  <si>
    <t xml:space="preserve">Sales tax time × 3 (quarterly filing). Little logged time – minimum applied.</t>
  </si>
  <si>
    <t xml:space="preserve">1915 NORTH 16TH STREET LLC|Default|Year-End Tax Coordination|Annual</t>
  </si>
  <si>
    <t xml:space="preserve">Default</t>
  </si>
  <si>
    <t xml:space="preserve">No year-end hours logged in the last 12 months – placeholder 1.0h.</t>
  </si>
  <si>
    <t xml:space="preserve">No recent recurring hours</t>
  </si>
  <si>
    <t xml:space="preserve">3540 E Boot Track LLC|1099|1099 Quarterly Review|1099</t>
  </si>
  <si>
    <t xml:space="preserve">Settled from 2026-07 (2026-07 – 2026-09)</t>
  </si>
  <si>
    <t xml:space="preserve">3540 E Boot Track LLC|Monthly Financials|Month End Close|Monthly</t>
  </si>
  <si>
    <t xml:space="preserve">Includes Month-end 2.4. Review = median of 7 closes reviewed in Harvest (0.70h).</t>
  </si>
  <si>
    <t xml:space="preserve">4530 W Flint LLC|1099|1099 Quarterly Review|1099</t>
  </si>
  <si>
    <t xml:space="preserve">Settled from 2026-02 (2026-02 – 2026-09)</t>
  </si>
  <si>
    <t xml:space="preserve">4530 W Flint LLC|Monthly Financials|Month End Close|Monthly</t>
  </si>
  <si>
    <t xml:space="preserve">Includes Month-end 0.8. Review = median of 7 closes reviewed in Harvest (0.70h).</t>
  </si>
  <si>
    <t xml:space="preserve">7327 Tierra Buena LLC|1099|1099 Quarterly Review|1099</t>
  </si>
  <si>
    <t xml:space="preserve">1099 tier Standard: ongoing quarterly review (half a full review). See 1099 tab for the Oct 30 cycle.</t>
  </si>
  <si>
    <t xml:space="preserve">7327 Tierra Buena LLC|Monthly Financials|Month End Close|Monthly</t>
  </si>
  <si>
    <t xml:space="preserve">Includes Month-end 1.3. Review = median of 7 closes reviewed in Harvest (0.70h).</t>
  </si>
  <si>
    <t xml:space="preserve">7730 Evans LLC|1099|1099 Quarterly Review|1099</t>
  </si>
  <si>
    <t xml:space="preserve">1099 tier Simple: ongoing quarterly review (half a full review). See 1099 tab for the Oct 30 cycle.</t>
  </si>
  <si>
    <t xml:space="preserve">Settled from 2026-04 (2026-04 – 2026-09)</t>
  </si>
  <si>
    <t xml:space="preserve">7730 Evans LLC|Monthly Financials|Month End Close|Monthly</t>
  </si>
  <si>
    <t xml:space="preserve">Medium</t>
  </si>
  <si>
    <t xml:space="preserve">Josephine's Apr–May 2026 closes + allowance for a new person (Valentina's hours not used). Review = median of 8 closes reviewed in Harvest (0.38h).</t>
  </si>
  <si>
    <t xml:space="preserve">909 MAIN LLC|1099|1099 Quarterly Review|1099</t>
  </si>
  <si>
    <t xml:space="preserve">Provisional</t>
  </si>
  <si>
    <t xml:space="preserve">1099 tier Simple: ongoing quarterly review (half a full review). See 1099 tab for the Oct 30 cycle. Will become an Airbnb – provisional. Revisit once it converts.</t>
  </si>
  <si>
    <t xml:space="preserve">909 MAIN LLC|Monthly Financials|Month End Close|Monthly</t>
  </si>
  <si>
    <t xml:space="preserve">Josephine's Apr–May 2026 closes + allowance for a new person (Valentina's hours not used). Will become an Airbnb – provisional. Revisit once it converts. Review = median of 8 closes reviewed in Harvest (0.48h).</t>
  </si>
  <si>
    <t xml:space="preserve">Amerisource HR Consulting Group LLC|1099|1099 Quarterly Review|1099</t>
  </si>
  <si>
    <t xml:space="preserve">Amerisource HR Consulting Group LLC|Year-end review|Adjusting Journal Entry Request|Annual</t>
  </si>
  <si>
    <t xml:space="preserve">Year-end review</t>
  </si>
  <si>
    <t xml:space="preserve">Year-end/tax hours Oct 2025–Sep 2026 (5.6h).</t>
  </si>
  <si>
    <t xml:space="preserve">Amerisource HR Consulting Group LLC|Monthly Financials|Month End Close|Monthly</t>
  </si>
  <si>
    <t xml:space="preserve">Includes Month-end 5.0, Payroll 11.7, CFO advisory 0.2. Review = median of 4 closes reviewed in Harvest (1.00h).</t>
  </si>
  <si>
    <t xml:space="preserve">Amerisource HR Consulting Group LLC|Bookkeeping|Bookkeeping &amp; Bill Pay|Weekly</t>
  </si>
  <si>
    <t xml:space="preserve">Bookkeeping</t>
  </si>
  <si>
    <t xml:space="preserve">Weekly bookkeeping/settlement time ÷ weeks per month.</t>
  </si>
  <si>
    <t xml:space="preserve">BSD Contracting LLC|1099|1099 Quarterly Review|1099</t>
  </si>
  <si>
    <t xml:space="preserve">1099 tier Complex: ongoing quarterly review (half a full review). See 1099 tab for the Oct 30 cycle.</t>
  </si>
  <si>
    <t xml:space="preserve">BSD Contracting LLC|Monthly Financials|Month End Close|Monthly</t>
  </si>
  <si>
    <t xml:space="preserve">Includes Month-end 0.7, Payroll 0.4. Review = median of 4 closes reviewed in Harvest (0.50h).</t>
  </si>
  <si>
    <t xml:space="preserve">Barrett Living Trust|Year-end review|Adjusting Journal Entry Request|Annual</t>
  </si>
  <si>
    <t xml:space="preserve">Year-end/tax hours Oct 2025–Sep 2026 (0.5h).</t>
  </si>
  <si>
    <t xml:space="preserve">Not settled by rule – median of last 6 months (2026-04 – 2026-09)</t>
  </si>
  <si>
    <t xml:space="preserve">Barrett Living Trust|Accounting|Month End Close|Monthly</t>
  </si>
  <si>
    <t xml:space="preserve">Includes Month-end 2.6, Bookkeeping 0.9. Review = 1.10h as logged (only 2 reviewed close(s) in Harvest – check).</t>
  </si>
  <si>
    <t xml:space="preserve">BeckShar Development LLC|1099|1099 Quarterly Review|1099</t>
  </si>
  <si>
    <t xml:space="preserve">BeckShar Development LLC|Monthly Financials|Month End Close|Monthly</t>
  </si>
  <si>
    <t xml:space="preserve">Includes Month-end 2.5, Bookkeeping 0.2, Payroll 1.6, CFO advisory 2.1. Review = median of 6 closes reviewed in Harvest (0.80h).</t>
  </si>
  <si>
    <t xml:space="preserve">BeckShar Diamond Commercial LLC|1099|1099 Quarterly Review|1099</t>
  </si>
  <si>
    <t xml:space="preserve">BeckShar Diamond Commercial LLC|Monthly Financials|Month End Close|Monthly</t>
  </si>
  <si>
    <t xml:space="preserve">Includes Month-end 0.7. Review = median of 4 closes reviewed in Harvest (0.50h).</t>
  </si>
  <si>
    <t xml:space="preserve">BeckShar LLC|1099|1099 Quarterly Review|1099</t>
  </si>
  <si>
    <t xml:space="preserve">Settled from 2026-05 (2026-05 – 2026-09)</t>
  </si>
  <si>
    <t xml:space="preserve">BeckShar LLC|Monthly Financials|Month End Close|Monthly</t>
  </si>
  <si>
    <t xml:space="preserve">Includes Month-end 1.2, Bookkeeping 0.5, Payroll 1.3, Sales tax 0.8. Review = 1.25h as logged (only 2 reviewed close(s) in Harvest – check).</t>
  </si>
  <si>
    <t xml:space="preserve">Building and Development Professionals LLC|1099|1099 Quarterly Review|1099</t>
  </si>
  <si>
    <t xml:space="preserve">Building and Development Professionals LLC|Monthly Financials|Month End Close|Monthly</t>
  </si>
  <si>
    <t xml:space="preserve">Includes Month-end 0.5, CFO advisory 1.9. Review = 0.5h placeholder (no close reviews found in Harvest) – check.</t>
  </si>
  <si>
    <t xml:space="preserve">Capital Financial LLC|1099|1099 Quarterly Review|1099</t>
  </si>
  <si>
    <t xml:space="preserve">1099 tier Standard: ongoing quarterly review (half a full review). See 1099 tab for the Oct 30 cycle. Aug–Sep 2026 excluded (one-time payroll JE re-entry, resolved).</t>
  </si>
  <si>
    <t xml:space="preserve">Settled from 2026-03 (2026-03 – 2026-07)</t>
  </si>
  <si>
    <t xml:space="preserve">Capital Financial LLC|Monthly Financials|Month End Close|Monthly</t>
  </si>
  <si>
    <t xml:space="preserve">Includes Month-end 3.4, Bookkeeping 0.7, Payroll 2.7, CFO advisory 0.3. Aug–Sep 2026 excluded (one-time payroll JE re-entry, resolved). Review = median of 3 closes reviewed in Harvest (1.20h).</t>
  </si>
  <si>
    <t xml:space="preserve">Catalpa Industrial Park Inc|1099|1099 Quarterly Review|1099</t>
  </si>
  <si>
    <t xml:space="preserve">Catalpa Industrial Park Inc|Monthly Financials|Month End Close|Monthly</t>
  </si>
  <si>
    <t xml:space="preserve">Includes Month-end 4.7. Review = median of 6 closes reviewed in Harvest (0.70h).</t>
  </si>
  <si>
    <t xml:space="preserve">Desert Quail Creative Classroom LLC|1099|1099 Quarterly Review|1099</t>
  </si>
  <si>
    <t xml:space="preserve">Desert Quail Creative Classroom LLC|Monthly Financials|Month End Close|Monthly</t>
  </si>
  <si>
    <t xml:space="preserve">Josephine's Apr–May 2026 closes + allowance for a new person (Valentina's hours not used). Review = median of 7 closes reviewed in Harvest (0.50h).</t>
  </si>
  <si>
    <t xml:space="preserve">Educational Services Holdings LLC|1099|1099 Quarterly Review|1099</t>
  </si>
  <si>
    <t xml:space="preserve">Settled from 2026-03 (2026-03 – 2026-09)</t>
  </si>
  <si>
    <t xml:space="preserve">Educational Services Holdings LLC|Monthly Financials|Month End Close|Monthly</t>
  </si>
  <si>
    <t xml:space="preserve">Low – based on Valentina's hours</t>
  </si>
  <si>
    <t xml:space="preserve">Includes Month-end 1.8, CFO advisory 3.8. Review = median of 4 closes reviewed in Harvest (0.48h).</t>
  </si>
  <si>
    <t xml:space="preserve">Educational Services Intermediate LLC|Default|1099 Quarterly Review|1099</t>
  </si>
  <si>
    <t xml:space="preserve">Educational Services Intermediate LLC</t>
  </si>
  <si>
    <t xml:space="preserve">Excluded</t>
  </si>
  <si>
    <t xml:space="preserve">No work for this entity (per Josephine). No budget set – consider closing the Karbon item.</t>
  </si>
  <si>
    <t xml:space="preserve">Educational Services LLC (dba ESI)|Year-end review|Annual Audit Support|Annual</t>
  </si>
  <si>
    <t xml:space="preserve">SUGGESTED – no item in Karbon. Steven's annual audit review/sign-off (Aug–Sep). Steven's CFO client; in-house controller does the books. Forecast/budget meetings treated as recurring CFO work. Jul light because client's controller was out.</t>
  </si>
  <si>
    <t xml:space="preserve">Oct 2025 – Sep 2026</t>
  </si>
  <si>
    <t xml:space="preserve">Educational Services LLC (dba ESI)|Monthly Financials|Month End Close|Monthly</t>
  </si>
  <si>
    <t xml:space="preserve">Includes Month-end 0.1, CFO advisory 6.2. Steven's CFO client; in-house controller does the books. Forecast/budget meetings treated as recurring CFO work. Jul light because client's controller was out. Review = median of 7 closes reviewed in Harvest (1.75h).</t>
  </si>
  <si>
    <t xml:space="preserve">Eight Eleven LLC|1099|1099 Quarterly Review|1099</t>
  </si>
  <si>
    <t xml:space="preserve">1099 tier Complex: ongoing quarterly review (half a full review). See 1099 tab for the Oct 30 cycle. Sep 2026 excluded (Christine out of time, not less work).</t>
  </si>
  <si>
    <t xml:space="preserve">Settled from 2026-06 (2026-06 – 2026-08)</t>
  </si>
  <si>
    <t xml:space="preserve">Eight Eleven LLC|Monthly Financials|Month End Close|Monthly</t>
  </si>
  <si>
    <t xml:space="preserve">Includes Month-end 8.3, Payroll 9.4, CFO advisory 1.1. Sep 2026 excluded (Christine out of time, not less work). Review = median of 10 closes reviewed in Harvest (1.50h).</t>
  </si>
  <si>
    <t xml:space="preserve">Eight Eleven LLC|Accounting|Weekly Accounting Work|Weekly</t>
  </si>
  <si>
    <t xml:space="preserve">Weekly bookkeeping/settlement time ÷ weeks per month. Sep 2026 excluded (Christine out of time, not less work).</t>
  </si>
  <si>
    <t xml:space="preserve">FiveOliver LLC|1099|1099 Quarterly Review|1099</t>
  </si>
  <si>
    <t xml:space="preserve">GAV Enterprises Inc|1099|1099 Quarterly Review|1099</t>
  </si>
  <si>
    <t xml:space="preserve">GAV Enterprises Inc|Year-end review|Adjusting Journal Entry Request|Annual</t>
  </si>
  <si>
    <t xml:space="preserve">Year-end/tax hours Oct 2025–Sep 2026 (0.8h) split across 2 year-end items.</t>
  </si>
  <si>
    <t xml:space="preserve">GAV Enterprises Inc|Default|Year-End Tax Coordination|Annual</t>
  </si>
  <si>
    <t xml:space="preserve">GAV Enterprises Inc|Accounting|Quarter End Close|Quarterly</t>
  </si>
  <si>
    <t xml:space="preserve">Includes Month-end 10.4, Bookkeeping 7.8, CFO advisory 0.7. Review = 0.25h as logged (only 1 reviewed close(s) in Harvest – check). Quarterly review from history: Q3 2025 Lisa 1.0 first pass + 0.5 complete = 1.5h; Jan–Jun 2024 review ~1.5h.</t>
  </si>
  <si>
    <t xml:space="preserve">International Alliance Group LLC|1099|1099 Quarterly Review|1099</t>
  </si>
  <si>
    <t xml:space="preserve">On hold – IAG brought in-house. No budget set.</t>
  </si>
  <si>
    <t xml:space="preserve">International Alliance Group LLC|Year-end review|Adjusting Journal Entry Request|Annual</t>
  </si>
  <si>
    <t xml:space="preserve">International Alliance Group LLC|Sales tax|Hawaii Monthly Tax Filing - Onyx Prepares &amp; Files|Monthly</t>
  </si>
  <si>
    <t xml:space="preserve">Hawaii Monthly Tax Filing - Onyx Prepares &amp; Files</t>
  </si>
  <si>
    <t xml:space="preserve">International Alliance Group LLC|Monthly Financials|Month End Close|Monthly</t>
  </si>
  <si>
    <t xml:space="preserve">International Alliance Group LLC|Sales tax|Sales Tax Filing - Onyx Prepares the Returns for Client|Monthly</t>
  </si>
  <si>
    <t xml:space="preserve">International Alliance Group LLC|Accounting|Quarterly 1GPA Filing|Quarterly</t>
  </si>
  <si>
    <t xml:space="preserve">Quarterly 1GPA Filing</t>
  </si>
  <si>
    <t xml:space="preserve">International Alliance Group LLC|Sales tax|Quarterly Financial Reports to MidFirst Bank|Quarterly</t>
  </si>
  <si>
    <t xml:space="preserve">Quarterly Financial Reports to MidFirst Bank</t>
  </si>
  <si>
    <t xml:space="preserve">International Alliance Group LLC|Sales tax|Quarterly Sales Tax Returns - Onyx Prepares the Returns for Client|Quarterly</t>
  </si>
  <si>
    <t xml:space="preserve">International Alliance Group LLC|Accounting|Bookkeeping &amp; Bill Pay|Weekly</t>
  </si>
  <si>
    <t xml:space="preserve">KAMM ADGT LLC|1099|1099 Quarterly Review|1099</t>
  </si>
  <si>
    <t xml:space="preserve">KAMM ADGT LLC|Monthly Financials|Month End Close|Monthly</t>
  </si>
  <si>
    <t xml:space="preserve">Little Moo's LLC|1099|1099 Quarterly Review|1099</t>
  </si>
  <si>
    <t xml:space="preserve">1099 tier Simple: ongoing quarterly review (half a full review). See 1099 tab for the Oct 30 cycle. Store opens Oct 2026 (Square POS, sales tax, inventory; payroll later) – provisional, pre-opening level. Revisit after 2–3 months open.</t>
  </si>
  <si>
    <t xml:space="preserve">Little Moo's LLC|Monthly Financials|Month End Close|Monthly</t>
  </si>
  <si>
    <t xml:space="preserve">Includes Month-end 1.7, CFO advisory 0.1. Store opens Oct 2026 (Square POS, sales tax, inventory; payroll later) – provisional, pre-opening level. Revisit after 2–3 months open. Review = median of 8 closes reviewed in Harvest (0.38h).</t>
  </si>
  <si>
    <t xml:space="preserve">Little Moo's LLC|Sales tax|Sales Tax Filing - Onyx Prepares the Returns for Client|Monthly</t>
  </si>
  <si>
    <t xml:space="preserve">Sales tax time per month. Store opens Oct 2026 (Square POS, sales tax, inventory; payroll later) – provisional, pre-opening level. Revisit after 2–3 months open.</t>
  </si>
  <si>
    <t xml:space="preserve">Midwest Contracting Inc|1099|1099 Quarterly Review|1099</t>
  </si>
  <si>
    <t xml:space="preserve">Midwest Contracting Inc|Monthly Financials|Month End Close|Monthly</t>
  </si>
  <si>
    <t xml:space="preserve">Includes Month-end 13.9, Payroll 12.1, Sales tax 0.5, CFO advisory 7.4. Review = median of 5 closes reviewed in Harvest (1.50h).</t>
  </si>
  <si>
    <t xml:space="preserve">Midwest Contracting Inc|Accounting|Weekly Accounting|Weekly</t>
  </si>
  <si>
    <t xml:space="preserve">Mohrschladt Capital LP|1099|1099 Quarterly Review|1099</t>
  </si>
  <si>
    <t xml:space="preserve">Mohrschladt Capital LP|Monthly Financials|Month End Close|Monthly</t>
  </si>
  <si>
    <t xml:space="preserve">Includes Month-end 2.6, Bookkeeping 0.4, CFO advisory 0.1. Review = median of 5 closes reviewed in Harvest (0.70h).</t>
  </si>
  <si>
    <t xml:space="preserve">Mohrschladt Howarth Associates Inc|1099|1099 Quarterly Review|1099</t>
  </si>
  <si>
    <t xml:space="preserve">Mohrschladt Howarth Associates Inc|Monthly Financials|Month End Close|Monthly</t>
  </si>
  <si>
    <t xml:space="preserve">Includes Month-end 1.9. Review = median of 7 closes reviewed in Harvest (0.70h).</t>
  </si>
  <si>
    <t xml:space="preserve">Mountain Trade Supply Inc|Default|1099 Quarterly Review|1099</t>
  </si>
  <si>
    <t xml:space="preserve">1099 tier Complex: ongoing quarterly review (half a full review). See 1099 tab for the Oct 30 cycle. Payroll takeover in progress (Paychex/401k/PFML); tax audit budgeted separately. Confirm payroll is ongoing.</t>
  </si>
  <si>
    <t xml:space="preserve">Mountain Trade Supply Inc|Payroll|Payroll Bi-Weekly 401K Payment|Bi-weekly</t>
  </si>
  <si>
    <t xml:space="preserve">Payroll</t>
  </si>
  <si>
    <t xml:space="preserve">Payroll time ÷ pay periods per month (25% share). Payroll takeover in progress (Paychex/401k/PFML); tax audit budgeted separately. Confirm payroll is ongoing. Review = Lisa oversight, 15 min per occurrence (work moving to Jessica).</t>
  </si>
  <si>
    <t xml:space="preserve">Mountain Trade Supply Inc|Accounting|Run Payroll in Paychex|Bi-weekly</t>
  </si>
  <si>
    <t xml:space="preserve">Payroll time ÷ pay periods per month (75% share). Payroll takeover in progress (Paychex/401k/PFML); tax audit budgeted separately. Confirm payroll is ongoing. Review = Lisa oversight, 15 min per occurrence (work moving to Jessica).</t>
  </si>
  <si>
    <t xml:space="preserve">Mountain Trade Supply Inc|Monthly Financials|Month End Close|Monthly</t>
  </si>
  <si>
    <t xml:space="preserve">Low</t>
  </si>
  <si>
    <t xml:space="preserve">SUGGESTED – no recurring month-end item in the Oct list (only the July clean-up). Payroll takeover in progress (Paychex/401k/PFML); tax audit budgeted separately. Confirm payroll is ongoing. Review = 0.25h as logged (only 1 reviewed close(s) in Harvest – check). Review set to 0:50 per Josephine (CYMA login 5–8 min, complex system; 0.7–1h).</t>
  </si>
  <si>
    <t xml:space="preserve">Newport Classic Cars LLC|1099|1099 Quarterly Review|1099</t>
  </si>
  <si>
    <t xml:space="preserve">Newport Classic Cars LLC|Quarterly Financials|Quarterly Month End Close|Quarterly</t>
  </si>
  <si>
    <t xml:space="preserve">Quarterly Financials</t>
  </si>
  <si>
    <t xml:space="preserve">Includes Month-end 0.8, Payroll 0.4. Review = median of 6 closes reviewed in Harvest (0.70h).</t>
  </si>
  <si>
    <t xml:space="preserve">Newport Classic Cars LLC|Sales tax|Quarterly Sales Tax Returns - Onyx Prepares the Returns for Client|Quarterly</t>
  </si>
  <si>
    <t xml:space="preserve">Obsidian Real Estate LLC|1099|1099 Quarterly Review|1099</t>
  </si>
  <si>
    <t xml:space="preserve">Obsidian Real Estate LLC|Year-end review|Adjusting Journal Entry Request|Annual</t>
  </si>
  <si>
    <t xml:space="preserve">Year-end/tax hours Oct 2025–Sep 2026 (0.6h).</t>
  </si>
  <si>
    <t xml:space="preserve">Obsidian Real Estate LLC|Monthly Financials|Month End Close|Monthly</t>
  </si>
  <si>
    <t xml:space="preserve">Includes Month-end 5.4, Bookkeeping 0.1, Sales tax 0.4, CFO advisory 0.1. Less 0.5h budgeted on "Monthly Reports and Bank Statements". Review = median of 7 closes reviewed in Harvest (0.70h).</t>
  </si>
  <si>
    <t xml:space="preserve">Obsidian Real Estate LLC|Monthly Financials|Monthly Reports and Bank Statements|Monthly</t>
  </si>
  <si>
    <t xml:space="preserve">Collecting monthly reports/statements (close prep). Taken out of the month-end budget.</t>
  </si>
  <si>
    <t xml:space="preserve">Paradise Village LLC|Year-end review|Adjusting Journal Entry Request|Annual</t>
  </si>
  <si>
    <t xml:space="preserve">Year-end/tax hours Oct 2025–Sep 2026 (0.1h).</t>
  </si>
  <si>
    <t xml:space="preserve">Paradise Village LLC|Accounting|Quarter End Close|Quarterly</t>
  </si>
  <si>
    <t xml:space="preserve">Includes Month-end 1.0. Review = 1.00h as logged (only 2 reviewed close(s) in Harvest – check).</t>
  </si>
  <si>
    <t xml:space="preserve">Phil Tavasci Companies|Bookkeeping|Daily Chase Fraud Review|Daily</t>
  </si>
  <si>
    <t xml:space="preserve">T5 history (Jul–Sep 2026): daily account/fraud checks.</t>
  </si>
  <si>
    <t xml:space="preserve">Phil Tavasci Companies|Bookkeeping|Bookkeeping &amp; Bill Pay|Weekly</t>
  </si>
  <si>
    <t xml:space="preserve">T5 history (Jul–Sep 2026): group bill pay/AP.</t>
  </si>
  <si>
    <t xml:space="preserve">Phil Tavasci Companies|Bookkeeping|Weekly Cash Review|Weekly</t>
  </si>
  <si>
    <t xml:space="preserve">T5 history (Jul–Sep 2026): weekly cash review.</t>
  </si>
  <si>
    <t xml:space="preserve">Preferred Renovations LLC|1099|1099 Quarterly Review|1099</t>
  </si>
  <si>
    <t xml:space="preserve">Preferred Renovations LLC|Monthly Financials|Month End Close|Monthly</t>
  </si>
  <si>
    <t xml:space="preserve">Includes Month-end 1.3, Payroll 1.1, CFO advisory 0.1. Review = median of 5 closes reviewed in Harvest (1.00h).</t>
  </si>
  <si>
    <t xml:space="preserve">Prestige Arms Worldwide|1099|1099 Quarterly Review|1099</t>
  </si>
  <si>
    <t xml:space="preserve">1099 tier Simple: ongoing quarterly review (half a full review). See 1099 tab for the Oct 30 cycle. Little recent history (backlog not yet worked). Close set at 1.0h from 2025 pattern, adjusted for contractor under-recording.</t>
  </si>
  <si>
    <t xml:space="preserve">Prestige Arms Worldwide|Default|Year-End Tax Coordination|Annual</t>
  </si>
  <si>
    <t xml:space="preserve">Year-end/tax hours Oct 2025–Sep 2026 (0.3h). Little recent history (backlog not yet worked). Close set at 1.0h from 2025 pattern, adjusted for contractor under-recording.</t>
  </si>
  <si>
    <t xml:space="preserve">Prestige Arms Worldwide|Monthly Financials|Month End Close|Monthly</t>
  </si>
  <si>
    <t xml:space="preserve">Little recent history (backlog not yet worked). Close set at 1.0h from 2025 pattern, adjusted for contractor under-recording. Review = 0.5h placeholder (no close reviews found in Harvest) – check.</t>
  </si>
  <si>
    <t xml:space="preserve">Prestige Arms Worldwide|Sales tax|Sales Tax Filing - Onyx Prepares the Returns for Client|Monthly</t>
  </si>
  <si>
    <t xml:space="preserve">Sales tax time per month. Little logged time – minimum applied. Little recent history (backlog not yet worked). Close set at 1.0h from 2025 pattern, adjusted for contractor under-recording.</t>
  </si>
  <si>
    <t xml:space="preserve">Prime Solar USA LLC|1099|1099 Quarterly Review|1099</t>
  </si>
  <si>
    <t xml:space="preserve">Prime Solar USA LLC|Year-end review|Adjusting Journal Entry Request|Annual</t>
  </si>
  <si>
    <t xml:space="preserve">Year-end/tax hours Oct 2025–Sep 2026 (0.8h).</t>
  </si>
  <si>
    <t xml:space="preserve">Prime Solar USA LLC|Monthly Financials|Month End Close|Monthly</t>
  </si>
  <si>
    <t xml:space="preserve">Includes Month-end 3.9, CFO advisory 1.3. Review = median of 7 closes reviewed in Harvest (1.00h).</t>
  </si>
  <si>
    <t xml:space="preserve">Rancho Industrial Park Inc|1099|1099 Quarterly Review|1099</t>
  </si>
  <si>
    <t xml:space="preserve">Rancho Industrial Park Inc|Monthly Financials|Month End Close|Monthly</t>
  </si>
  <si>
    <t xml:space="preserve">Includes Month-end 5.8. Review = median of 7 closes reviewed in Harvest (1.00h).</t>
  </si>
  <si>
    <t xml:space="preserve">SW Art Glass Inc|1099|1099 Quarterly Review|1099</t>
  </si>
  <si>
    <t xml:space="preserve">SW Art Glass Inc|Accounting|Quarter End Close|Quarterly</t>
  </si>
  <si>
    <t xml:space="preserve">Includes CFO advisory 1.2. Review = median of 3 closes reviewed in Harvest (1.50h).</t>
  </si>
  <si>
    <t xml:space="preserve">Southwest Rents Inc|1099|1099 Quarterly Review|1099</t>
  </si>
  <si>
    <t xml:space="preserve">1099 tier Complex: ongoing quarterly review (half a full review). See 1099 tab for the Oct 30 cycle. Catch-up still underway; steady level uncertain. Backlog closes carry the remaining catch-up (~15–20h).</t>
  </si>
  <si>
    <t xml:space="preserve">Southwest Rents Inc|Year-end review|Adjusting Journal Entry Request|Annual</t>
  </si>
  <si>
    <t xml:space="preserve">Year-end/tax hours Oct 2025–Sep 2026 (4.5h). Catch-up still underway; steady level uncertain. Backlog closes carry the remaining catch-up (~15–20h).</t>
  </si>
  <si>
    <t xml:space="preserve">Southwest Rents Inc|Monthly Financials|Month End Close|Monthly</t>
  </si>
  <si>
    <t xml:space="preserve">Includes Month-end 0.2, Bookkeeping 0.5, Sales tax 0.2, CFO advisory 0.6. Catch-up still underway; steady level uncertain. Backlog closes carry the remaining catch-up (~15–20h). Review = 0.5h placeholder (no close reviews found in Harvest) – check.</t>
  </si>
  <si>
    <t xml:space="preserve">T5 Family Holdings LLC|1099|1099 Quarterly Review|1099</t>
  </si>
  <si>
    <t xml:space="preserve">1099 tier Simple: ongoing quarterly review (half a full review). See 1099 tab for the Oct 30 cycle. Carries Tavasci Group shared work since Harvest (moved from ESH). Group weekly items under Phil Tavasci Companies are budgeted from T5 history.</t>
  </si>
  <si>
    <t xml:space="preserve">T5 Family Holdings LLC|Monthly Financials|Month End Close|Monthly</t>
  </si>
  <si>
    <t xml:space="preserve">Includes Month-end 2.4, Bookkeeping 3.1, Payroll 1.1, CFO advisory 3.0. Less 8.3h/mo of Tavasci Group work budgeted on the Phil Tavasci Companies items. Carries Tavasci Group shared work since Harvest (moved from ESH). Group weekly items under Phil Tavasci Companies are budgeted from T5 history. Review = median of 4 closes reviewed in Harvest (0.48h).</t>
  </si>
  <si>
    <t xml:space="preserve">Tavasci Brothers Motorsports LLC|1099|1099 Quarterly Review|1099</t>
  </si>
  <si>
    <t xml:space="preserve">Tavasci Brothers Motorsports LLC|Monthly Financials|Month End Close|Monthly</t>
  </si>
  <si>
    <t xml:space="preserve">VV1012 LLC|1099|1099 Quarterly Review|1099</t>
  </si>
  <si>
    <t xml:space="preserve">VV1012 LLC|Payroll|Bi-Weekly QuickBooks Payroll Processing|Bi-weekly</t>
  </si>
  <si>
    <t xml:space="preserve">Payroll time ÷ pay periods per month. Review = Lisa oversight, 15 min per occurrence (work moving to Jessica).</t>
  </si>
  <si>
    <t xml:space="preserve">VV1012 LLC|Monthly Financials|Month End Close|Monthly</t>
  </si>
  <si>
    <t xml:space="preserve">Includes Month-end 3.2. Review = median of 5 closes reviewed in Harvest (0.50h).</t>
  </si>
  <si>
    <t xml:space="preserve">VV1012 LLC|Sales tax|Sales Tax Filing|Monthly</t>
  </si>
  <si>
    <t xml:space="preserve">Sales tax time per month.</t>
  </si>
  <si>
    <t xml:space="preserve">VV1012 LLC|Default|Weekly Bank Settlements - From Toast|Weekly</t>
  </si>
  <si>
    <t xml:space="preserve">Weekly bookkeeping/settlement time ÷ weeks per month. Review = Lisa oversight, 15 min per occurrence (work moving to Jessica).</t>
  </si>
  <si>
    <t xml:space="preserve">VV1012 LLC|Bookkeeping|Weekly Cash Flow Review|Weekly</t>
  </si>
  <si>
    <t xml:space="preserve">CFO cash-flow/advisory time ÷ weeks per month.</t>
  </si>
  <si>
    <t xml:space="preserve">VVI 1017 LLC|1099|1099 Quarterly Review|1099</t>
  </si>
  <si>
    <t xml:space="preserve">VVI 1017 LLC|Monthly Financials|Month End Close|Monthly</t>
  </si>
  <si>
    <t xml:space="preserve">Josephine's Apr–May 2026 closes + allowance for a new person (Valentina's hours not used). Review = median of 8 closes reviewed in Harvest (0.60h).</t>
  </si>
  <si>
    <t xml:space="preserve">VVNS LLC|1099|1099 Quarterly Review|1099</t>
  </si>
  <si>
    <t xml:space="preserve">1099 tier Standard: ongoing quarterly review (half a full review). See 1099 tab for the Oct 30 cycle. Opened Sept 2026 – provisional, modelled on VV1012 (operating Toast restaurant). Revisit after 2–3 months open.</t>
  </si>
  <si>
    <t xml:space="preserve">VVNS LLC|Accounting|Bi-Weekly QuickBooks Payroll Processing|Bi-weekly</t>
  </si>
  <si>
    <t xml:space="preserve">Payroll time ÷ pay periods per month. Opened Sept 2026 – provisional, modelled on VV1012 (operating Toast restaurant). Revisit after 2–3 months open. Review = Lisa oversight, 15 min per occurrence (work moving to Jessica).</t>
  </si>
  <si>
    <t xml:space="preserve">VVNS LLC|Monthly Financials|Month End Close|Monthly</t>
  </si>
  <si>
    <t xml:space="preserve">Includes Month-end 3.2. Opened Sept 2026 – provisional, modelled on VV1012 (operating Toast restaurant). Revisit after 2–3 months open. Review = median of 10 closes reviewed in Harvest (0.60h).</t>
  </si>
  <si>
    <t xml:space="preserve">VVNS LLC|Sales tax|Sales Tax Filing - Onyx Prepares the Returns for Client|Monthly</t>
  </si>
  <si>
    <t xml:space="preserve">Sales tax time per month. Opened Sept 2026 – provisional, modelled on VV1012 (operating Toast restaurant). Revisit after 2–3 months open.</t>
  </si>
  <si>
    <t xml:space="preserve">VVNS LLC|Accounting|Weekly Bank Settlements - From Toast|Weekly</t>
  </si>
  <si>
    <t xml:space="preserve">Weekly bookkeeping/settlement time ÷ weeks per month. Opened Sept 2026 – provisional, modelled on VV1012 (operating Toast restaurant). Revisit after 2–3 months open. Review = Lisa oversight, 15 min per occurrence (work moving to Jessica).</t>
  </si>
  <si>
    <t xml:space="preserve">VVNS LLC|Accounting|Weekly Cash Flow Review|Weekly</t>
  </si>
  <si>
    <t xml:space="preserve">CFO cash-flow/advisory time ÷ weeks per month. Opened Sept 2026 – provisional, modelled on VV1012 (operating Toast restaurant). Revisit after 2–3 months open.</t>
  </si>
  <si>
    <t xml:space="preserve">Young Wealth Management PLLC|1099|1099 Quarterly Review|1099</t>
  </si>
  <si>
    <t xml:space="preserve">Young Wealth Management PLLC|Accounting|Quarter End Close|Quarterly</t>
  </si>
  <si>
    <t xml:space="preserve">Includes Month-end 6.5, Payroll 1.2. Review = 0.35h as logged (only 1 reviewed close(s) in Harvest – check). Quarterly review from history: Lisa Q1–Q2 2025 1.5h (two quarters), Q3 2025 0.7h, Q4 2025 1.25h – about 1h per quarter.</t>
  </si>
  <si>
    <t xml:space="preserve">Work Title</t>
  </si>
  <si>
    <t xml:space="preserve">Due Date</t>
  </si>
  <si>
    <t xml:space="preserve">Assignee (Oct 1)</t>
  </si>
  <si>
    <t xml:space="preserve">Status (Oct 1)</t>
  </si>
  <si>
    <t xml:space="preserve">Budget source</t>
  </si>
  <si>
    <t xml:space="preserve">Work (hrs)</t>
  </si>
  <si>
    <t xml:space="preserve">CFO Review (hrs)</t>
  </si>
  <si>
    <t xml:space="preserve">Total (hrs)</t>
  </si>
  <si>
    <t xml:space="preserve">Aug 2026 Month End Close</t>
  </si>
  <si>
    <t xml:space="preserve">Lisa Danforth</t>
  </si>
  <si>
    <t xml:space="preserve">In Progress - Review</t>
  </si>
  <si>
    <t xml:space="preserve">Recurring Budgets</t>
  </si>
  <si>
    <t xml:space="preserve">Unassigned</t>
  </si>
  <si>
    <t xml:space="preserve">Planned</t>
  </si>
  <si>
    <t xml:space="preserve">1099 tab</t>
  </si>
  <si>
    <t xml:space="preserve">Oct 30 cycle budget from 1099 tab (covers catch-up for clients not completed in Q2).</t>
  </si>
  <si>
    <t xml:space="preserve">Sep 2026 Month End Close</t>
  </si>
  <si>
    <t xml:space="preserve">Christine Johnson</t>
  </si>
  <si>
    <t xml:space="preserve">Jul-Sep 2026 Quarter End Close</t>
  </si>
  <si>
    <t xml:space="preserve">In Progress</t>
  </si>
  <si>
    <t xml:space="preserve">Quarterly Sales Tax Filing - Onyx Prepares the Returns for Client Jul - Oct 2026</t>
  </si>
  <si>
    <t xml:space="preserve">Year-End Tax Coordination 2025</t>
  </si>
  <si>
    <t xml:space="preserve">Steven Nikolov</t>
  </si>
  <si>
    <t xml:space="preserve">Valentina Dikova</t>
  </si>
  <si>
    <t xml:space="preserve">Bookkeeping &amp; Bill Pay Oct 2, 2026</t>
  </si>
  <si>
    <t xml:space="preserve">Adjusting Journal Entry Request 2025</t>
  </si>
  <si>
    <t xml:space="preserve">Ad hoc</t>
  </si>
  <si>
    <t xml:space="preserve">Jessica Bumphus</t>
  </si>
  <si>
    <t xml:space="preserve">Ready To Start</t>
  </si>
  <si>
    <t xml:space="preserve">One-time estimate</t>
  </si>
  <si>
    <t xml:space="preserve">Size: Small. Scoping only; catalog Small (2–3h). Budget the cleanup itself once scoped.</t>
  </si>
  <si>
    <t xml:space="preserve">Size: Quick. No Bjerk time logged since Jan 2026 – confirm whether still active.</t>
  </si>
  <si>
    <t xml:space="preserve">Size: Large. WIP build for a contractor; BDP cleanup/CFO time so far ~4–16h/mo. Estimate – confirm scope.</t>
  </si>
  <si>
    <t xml:space="preserve">Waiting - Waiting for info</t>
  </si>
  <si>
    <t xml:space="preserve">Size: Medium. Catalog Medium (5–6h): budget build/fix.</t>
  </si>
  <si>
    <t xml:space="preserve">Waiting - Waiting for client</t>
  </si>
  <si>
    <t xml:space="preserve">Overdue Q2 review waiting for client: remaining steps 4–7 only (client approval, W-9 follow-up, save W-9s). The Q3 item carries the Oct 30 review.</t>
  </si>
  <si>
    <t xml:space="preserve">Size: Medium–Large. AR/AP cleanup; Eight Eleven AP/AR cleanup ran 3–19h/mo in spring. Estimate – confirm what is left.</t>
  </si>
  <si>
    <t xml:space="preserve">Weekly Accounting Work Sep 29, 2026</t>
  </si>
  <si>
    <t xml:space="preserve">Weekly Accounting Work Oct 6, 2026</t>
  </si>
  <si>
    <t xml:space="preserve">Size: Small. FiveOliver time so far is mostly tax; small catch-up close. Estimate.</t>
  </si>
  <si>
    <t xml:space="preserve">Year-End Tax Coordination Aug 2026</t>
  </si>
  <si>
    <t xml:space="preserve">Adjusting Journal Entry Request 2026</t>
  </si>
  <si>
    <t xml:space="preserve">AR Aging Reports to MidFirst Sep</t>
  </si>
  <si>
    <t xml:space="preserve">Aug 2026 Hawaii Monthly Tax Filing - Onyx Prepares &amp; Files</t>
  </si>
  <si>
    <t xml:space="preserve">Sep 28, 2026 Mexico Payroll Processing</t>
  </si>
  <si>
    <t xml:space="preserve">Bookkeeping &amp; Bill Pay Sep 30, 2026</t>
  </si>
  <si>
    <t xml:space="preserve">Bookkeeping &amp; Bill Pay Oct 7, 2026</t>
  </si>
  <si>
    <t xml:space="preserve">AR Aging Reports to MidFirst Oct</t>
  </si>
  <si>
    <t xml:space="preserve">Josephine Mack</t>
  </si>
  <si>
    <t xml:space="preserve">Sales Tax Filing - Onyx Prepares the Returns for Client Oct 2026</t>
  </si>
  <si>
    <t xml:space="preserve">Adjusting Journal Entry Request 2025/2026</t>
  </si>
  <si>
    <t xml:space="preserve">Size: Medium. Catalog Medium; Korman has run 8–9h/mo since Aug.</t>
  </si>
  <si>
    <t xml:space="preserve">Sep 2026 Sales Tax Filing - Onyx Prepares the Returns for Client</t>
  </si>
  <si>
    <t xml:space="preserve">Weekly Accounting Sep 29, 2026</t>
  </si>
  <si>
    <t xml:space="preserve">Weekly Accounting Oct 6, 2026</t>
  </si>
  <si>
    <t xml:space="preserve">Size: Medium–Large. Jessica began July close late Sept alongside audit; first close after takeover. Estimate.</t>
  </si>
  <si>
    <t xml:space="preserve">Size: Large. ~10h already logged on the audit in late Sept; estimate of remaining work. Confirm.</t>
  </si>
  <si>
    <t xml:space="preserve">Run Payroll in Paychex Oct 5, 2026</t>
  </si>
  <si>
    <t xml:space="preserve">Payroll Bi-Weekly 401K Payment Oct 2, 2026</t>
  </si>
  <si>
    <t xml:space="preserve">Quarterly Sales Tax Returns - Onyx Prepares the Returns for Client Oct 2026 - Jan 2027</t>
  </si>
  <si>
    <t xml:space="preserve">Jul - Sep 2026 Quarterly Month End Close</t>
  </si>
  <si>
    <t xml:space="preserve">Size: Medium. Catalog Medium: coordinating studies with provider and booking results.</t>
  </si>
  <si>
    <t xml:space="preserve">Daily Chase Fraud Review Oct 1, 2026</t>
  </si>
  <si>
    <t xml:space="preserve">Daily Chase Fraud Review Oct 2, 2026</t>
  </si>
  <si>
    <t xml:space="preserve">Weekly Cash Review Oct 5, 2026</t>
  </si>
  <si>
    <t xml:space="preserve">Size: Small–Medium. Loan/LOC projects: median 2.5h, 75th pct 4.4h.</t>
  </si>
  <si>
    <t xml:space="preserve">Sales Tax Filing - Onyx Prepares the Returns for Client 2025</t>
  </si>
  <si>
    <t xml:space="preserve">Backlog close (catch-up): ~15–20h remaining across 7 open months ≈ 2.5h each (from Assumptions &amp; Variances note).</t>
  </si>
  <si>
    <t xml:space="preserve">The Joseph Thomas Lucero Living Trust</t>
  </si>
  <si>
    <t xml:space="preserve">Monthly Clean Up Work - May - Aug 2026</t>
  </si>
  <si>
    <t xml:space="preserve">Clean-up completed and sent to client; client will do his own monthly work going forward. No budget.</t>
  </si>
  <si>
    <t xml:space="preserve">Weekly Bank Settlements - From Toast Sep 28</t>
  </si>
  <si>
    <t xml:space="preserve">Weekly Cash Flow Review Sep 28, 2026</t>
  </si>
  <si>
    <t xml:space="preserve">Size: Small–Medium. On-site visit; comparable on-site setup at Little Moo's was 3.5h.</t>
  </si>
  <si>
    <t xml:space="preserve">Weekly Bank Settlements - From Toast Oct 5</t>
  </si>
  <si>
    <t xml:space="preserve">Bi-Weekly QuickBooks Payroll Processing Oct 7, 2026</t>
  </si>
  <si>
    <t xml:space="preserve">Sep 2026 Sales Tax Filing</t>
  </si>
  <si>
    <t xml:space="preserve">Aug 2026 Sales Tax Filing - Onyx Prepares the Returns for Client</t>
  </si>
  <si>
    <t xml:space="preserve">Bi-Weekly QuickBooks Payroll Processing Sep 28, 2026</t>
  </si>
  <si>
    <t xml:space="preserve">Apr-Jun 2026 Quarter End Close</t>
  </si>
  <si>
    <t xml:space="preserve">TOTAL – all open items</t>
  </si>
  <si>
    <t xml:space="preserve">Monthly equivalent budget per client (recurring items only; excludes one-time items and the Oct 30 1099 catch-up)</t>
  </si>
  <si>
    <t xml:space="preserve">Work (hrs / month)</t>
  </si>
  <si>
    <t xml:space="preserve">CFO Review (hrs / month)</t>
  </si>
  <si>
    <t xml:space="preserve">Total (hrs / month)</t>
  </si>
  <si>
    <t xml:space="preserve">Lowest confidence on client</t>
  </si>
  <si>
    <t xml:space="preserve">Note</t>
  </si>
  <si>
    <t xml:space="preserve">Will become an Airbnb – provisional. Revisit once it converts.</t>
  </si>
  <si>
    <t xml:space="preserve">Aug–Sep 2026 excluded (one-time payroll JE re-entry, resolved).</t>
  </si>
  <si>
    <t xml:space="preserve">Steven's CFO client; in-house controller does the books. Forecast/budget meetings treated as recurring CFO work. Jul light because client's controller was out.</t>
  </si>
  <si>
    <t xml:space="preserve">Sep 2026 excluded (Christine out of time, not less work).</t>
  </si>
  <si>
    <t xml:space="preserve">Store opens Oct 2026 (Square POS, sales tax, inventory; payroll later) – provisional, pre-opening level. Revisit after 2–3 months open.</t>
  </si>
  <si>
    <t xml:space="preserve">Payroll takeover in progress (Paychex/401k/PFML); tax audit budgeted separately. Confirm payroll is ongoing.</t>
  </si>
  <si>
    <t xml:space="preserve">Little recent history (backlog not yet worked). Close set at 1.0h from 2025 pattern, adjusted for contractor under-recording.</t>
  </si>
  <si>
    <t xml:space="preserve">Catch-up still underway; steady level uncertain. Backlog closes carry the remaining catch-up (~15–20h).</t>
  </si>
  <si>
    <t xml:space="preserve">Carries Tavasci Group shared work since Harvest (moved from ESH). Group weekly items under Phil Tavasci Companies are budgeted from T5 history.</t>
  </si>
  <si>
    <t xml:space="preserve">Opened Sept 2026 – provisional, modelled on VV1012 (operating Toast restaurant). Revisit after 2–3 months open.</t>
  </si>
  <si>
    <t xml:space="preserve">Ad hoc reserve (Assumptions) – CFO</t>
  </si>
  <si>
    <t xml:space="preserve">Ad hoc reserve (Assumptions) – Staff / controller</t>
  </si>
  <si>
    <t xml:space="preserve">TOTAL incl. ad hoc reserve</t>
  </si>
  <si>
    <t xml:space="preserve">Note: "Work" is the doing of the work, whoever does it; for some clients (ESI, BDP, Prime Solar, Mountain Trade payroll, VV cash-flow reviews) the work itself is done by the CFO.</t>
  </si>
  <si>
    <t xml:space="preserve">Ad hoc project sizes from timesheet history (Jan 2025 – Sep 2026)</t>
  </si>
  <si>
    <t xml:space="preserve">A project = all entries for the same client and topic with no gap over 45 days. Identified from note keywords, so mixed close/ad hoc entries may be missed.</t>
  </si>
  <si>
    <t xml:space="preserve">Type</t>
  </si>
  <si>
    <t xml:space="preserve">Projects</t>
  </si>
  <si>
    <t xml:space="preserve">Median (hrs)</t>
  </si>
  <si>
    <t xml:space="preserve">75th percentile (hrs)</t>
  </si>
  <si>
    <t xml:space="preserve">90th percentile (hrs)</t>
  </si>
  <si>
    <t xml:space="preserve">Largest (hrs)</t>
  </si>
  <si>
    <t xml:space="preserve">Largest examples</t>
  </si>
  <si>
    <t xml:space="preserve">Systems / software setup</t>
  </si>
  <si>
    <t xml:space="preserve">VV1012 32h; VVNS 31h; Mountain Trade Supply 19h</t>
  </si>
  <si>
    <t xml:space="preserve">Budget / forecast / analysis</t>
  </si>
  <si>
    <t xml:space="preserve">Educational Services (dba ESI) 58h; International Alliance Group 22h; Midwest Contracting 18h</t>
  </si>
  <si>
    <t xml:space="preserve">Onboarding / transition</t>
  </si>
  <si>
    <t xml:space="preserve">Amerisource HR Consulting Group 20h; Amerisource HR Consulting Group 18h; International Alliance Group 11h</t>
  </si>
  <si>
    <t xml:space="preserve">Loan / bank / lender</t>
  </si>
  <si>
    <t xml:space="preserve">Midwest Contracting 22h; International Alliance Group 14h; Eight Eleven 14h</t>
  </si>
  <si>
    <t xml:space="preserve">Insurance / underwriting</t>
  </si>
  <si>
    <t xml:space="preserve">International Alliance Group 22h; VV1012 15h; VVNS 14h</t>
  </si>
  <si>
    <t xml:space="preserve">Legal / settlement</t>
  </si>
  <si>
    <t xml:space="preserve">Foothills Reserve Masters Owners Association 14h; Educational Services (dba ESI) 10h; BeckShar Development 5h</t>
  </si>
  <si>
    <t xml:space="preserve">Entity / registration</t>
  </si>
  <si>
    <t xml:space="preserve">VVNS 2h; Prime Solar USA 1h; Educational Services Holdings 0h</t>
  </si>
  <si>
    <t xml:space="preserve">Property / asset transaction</t>
  </si>
  <si>
    <t xml:space="preserve">International Alliance Group 10h; Mohrschladt Capital LP 3h; 1402 W Victory 3h</t>
  </si>
  <si>
    <t xml:space="preserve">Tax audit / notices</t>
  </si>
  <si>
    <t xml:space="preserve">Obsidian Real Estate 2h; Preferred Renovations 2h; Rancho Industrial Park 1h</t>
  </si>
  <si>
    <t xml:space="preserve">Size tiers for new ad hoc items</t>
  </si>
  <si>
    <t xml:space="preserve">Size</t>
  </si>
  <si>
    <t xml:space="preserve">Budget (hrs)</t>
  </si>
  <si>
    <t xml:space="preserve">Use for</t>
  </si>
  <si>
    <t xml:space="preserve">Quick</t>
  </si>
  <si>
    <t xml:space="preserve">Filings, registrations, DOR notices, a single entry</t>
  </si>
  <si>
    <t xml:space="preserve">Small</t>
  </si>
  <si>
    <t xml:space="preserve">Insurance renewal, loan/LOC request, routine onboarding, one-off analysis</t>
  </si>
  <si>
    <t xml:space="preserve">Complex insurance or loan work, a budget build, a multi-step legal task</t>
  </si>
  <si>
    <t xml:space="preserve">Large</t>
  </si>
  <si>
    <t xml:space="preserve">New system/POS, a big client starting, multi-month programs (15–30h+)</t>
  </si>
  <si>
    <t xml:space="preserve">Monthly client hours (all billable time) and of which CFO review – Oct 2025 to Sep 2026</t>
  </si>
  <si>
    <t xml:space="preserve">Green-shaded months = baseline months the budget is built from.</t>
  </si>
  <si>
    <t xml:space="preserve">Client</t>
  </si>
  <si>
    <t xml:space="preserve">Measure</t>
  </si>
  <si>
    <t xml:space="preserve">Oct 25</t>
  </si>
  <si>
    <t xml:space="preserve">Nov 25</t>
  </si>
  <si>
    <t xml:space="preserve">Dec 25</t>
  </si>
  <si>
    <t xml:space="preserve">Jan 26</t>
  </si>
  <si>
    <t xml:space="preserve">Feb 26</t>
  </si>
  <si>
    <t xml:space="preserve">Mar 26</t>
  </si>
  <si>
    <t xml:space="preserve">Apr 26</t>
  </si>
  <si>
    <t xml:space="preserve">May 26</t>
  </si>
  <si>
    <t xml:space="preserve">Jun 26</t>
  </si>
  <si>
    <t xml:space="preserve">Jul 26</t>
  </si>
  <si>
    <t xml:space="preserve">Aug 26</t>
  </si>
  <si>
    <t xml:space="preserve">Sep 26</t>
  </si>
  <si>
    <t xml:space="preserve">Rule result</t>
  </si>
  <si>
    <t xml:space="preserve">Total hours</t>
  </si>
  <si>
    <t xml:space="preserve">of which CFO review</t>
  </si>
  <si>
    <t xml:space="preserve">of which cleanup/ad hoc/1099/YE</t>
  </si>
  <si>
    <t xml:space="preserve">Foothills Reserve Masters Owners Association Inc</t>
  </si>
  <si>
    <t xml:space="preserve">Kartes Leasing LLC</t>
  </si>
  <si>
    <t xml:space="preserve">Not settled by rule – median of last 6 months (2026-08 – 2026-09)</t>
  </si>
  <si>
    <t xml:space="preserve">Return Textiles LLC</t>
  </si>
  <si>
    <t xml:space="preserve">Settled from 2026-06 (2026-06 – 2026-09) – VVNS modelled on VV1012</t>
  </si>
  <si>
    <t xml:space="preserve">#</t>
  </si>
  <si>
    <t xml:space="preserve">Item</t>
  </si>
  <si>
    <t xml:space="preserve">Effect on budget</t>
  </si>
  <si>
    <t xml:space="preserve">Who takes over Valentina's clients? Budgets for her clients are marked Low/Medium until the next owner has done 1–2 closes.</t>
  </si>
  <si>
    <t xml:space="preserve">VV1012, VVNS, ESH, Prime Solar, Young Wealth, T5, small Tavasci entities</t>
  </si>
  <si>
    <t xml:space="preserve">Capital Financial: Q2 1099 showed 8 of 8 but Cancelled – treated as completed.</t>
  </si>
  <si>
    <t xml:space="preserve">1099 Oct 30 budget</t>
  </si>
  <si>
    <t xml:space="preserve">Mountain Trade: is payroll (Paychex, 401k, PFML) ongoing? Tax audit remaining effort? No recurring Month End Close item exists in Karbon – a suggested row is included.</t>
  </si>
  <si>
    <t xml:space="preserve">Payroll items, Tax Audit, suggested month-end row</t>
  </si>
  <si>
    <t xml:space="preserve">909 Main: when does it become an Airbnb, and will Onyx handle lodging tax?</t>
  </si>
  <si>
    <t xml:space="preserve">909 month-end (provisional)</t>
  </si>
  <si>
    <t xml:space="preserve">T5 + Ed Svcs Holdings combined rose ~7 → ~19 h/mo – what was added besides moving group work to T5?</t>
  </si>
  <si>
    <t xml:space="preserve">T5 / ESH / Phil Tavasci items</t>
  </si>
  <si>
    <t xml:space="preserve">Bjerk Builders: no time logged since Jan 2026, but check-ins are open in Karbon – still a client?</t>
  </si>
  <si>
    <t xml:space="preserve">Check-in items (0.5h placeholder)</t>
  </si>
  <si>
    <t xml:space="preserve">ESI: add an annual "Audit Support" item in Karbon? (suggested row in Recurring Budgets)</t>
  </si>
  <si>
    <t xml:space="preserve">ESI</t>
  </si>
  <si>
    <t xml:space="preserve">Southwest Rents: steady monthly level is uncertain until catch-up finishes; backlog closes carry 2.5h each.</t>
  </si>
  <si>
    <t xml:space="preserve">SW Rents items</t>
  </si>
  <si>
    <t xml:space="preserve">One-time estimates (BDP WIP, Eight Eleven AR/AP cleanup, Mountain Trade audit &amp; July close, Korman, Cost Seg) – check against what you know is left.</t>
  </si>
  <si>
    <t xml:space="preserve">Open Items one-time rows</t>
  </si>
  <si>
    <t xml:space="preserve">1099 tiers and the Q2-status factors are estimates – adjust on the Assumptions / 1099 tabs.</t>
  </si>
  <si>
    <t xml:space="preserve">Oct 30 1099 total</t>
  </si>
  <si>
    <t xml:space="preserve">Little Moo's and VVNS: revisit after 2–3 months open.</t>
  </si>
  <si>
    <t xml:space="preserve">Provisional budgets</t>
  </si>
</sst>
</file>

<file path=xl/styles.xml><?xml version="1.0" encoding="utf-8"?>
<styleSheet xmlns="http://schemas.openxmlformats.org/spreadsheetml/2006/main">
  <numFmts count="11">
    <numFmt numFmtId="164" formatCode="General"/>
    <numFmt numFmtId="165" formatCode="[h]:mm;;\-"/>
    <numFmt numFmtId="166" formatCode="\$#,##0;;\-"/>
    <numFmt numFmtId="167" formatCode="[h]:mm"/>
    <numFmt numFmtId="168" formatCode="\+0.00;\-0.00;\-"/>
    <numFmt numFmtId="169" formatCode="\+0.0;\-0.0;\-"/>
    <numFmt numFmtId="170" formatCode="0"/>
    <numFmt numFmtId="171" formatCode="0.00"/>
    <numFmt numFmtId="172" formatCode="0.0"/>
    <numFmt numFmtId="173" formatCode="\$#,##0"/>
    <numFmt numFmtId="174" formatCode="mmm\ d&quot;, &quot;yyyy"/>
  </numFmts>
  <fonts count="16">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i val="true"/>
      <sz val="11"/>
      <name val="Arial"/>
      <family val="0"/>
      <charset val="1"/>
    </font>
    <font>
      <b val="true"/>
      <sz val="11"/>
      <name val="Arial"/>
      <family val="0"/>
      <charset val="1"/>
    </font>
    <font>
      <b val="true"/>
      <sz val="11"/>
      <color rgb="FFFFFFFF"/>
      <name val="Arial"/>
      <family val="0"/>
      <charset val="1"/>
    </font>
    <font>
      <sz val="11"/>
      <color rgb="FF008000"/>
      <name val="Arial"/>
      <family val="0"/>
      <charset val="1"/>
    </font>
    <font>
      <sz val="11"/>
      <name val="Arial"/>
      <family val="0"/>
      <charset val="1"/>
    </font>
    <font>
      <i val="true"/>
      <sz val="11"/>
      <color rgb="FFC00000"/>
      <name val="Arial"/>
      <family val="0"/>
      <charset val="1"/>
    </font>
    <font>
      <sz val="11"/>
      <color rgb="FF0000FF"/>
      <name val="Arial"/>
      <family val="0"/>
      <charset val="1"/>
    </font>
    <font>
      <b val="true"/>
      <sz val="13"/>
      <name val="Arial"/>
      <family val="0"/>
      <charset val="1"/>
    </font>
    <font>
      <i val="true"/>
      <sz val="11"/>
      <color rgb="FF595959"/>
      <name val="Arial"/>
      <family val="0"/>
      <charset val="1"/>
    </font>
    <font>
      <b val="true"/>
      <sz val="12"/>
      <name val="Arial"/>
      <family val="0"/>
      <charset val="1"/>
    </font>
  </fonts>
  <fills count="11">
    <fill>
      <patternFill patternType="none"/>
    </fill>
    <fill>
      <patternFill patternType="gray125"/>
    </fill>
    <fill>
      <patternFill patternType="solid">
        <fgColor rgb="FF1F3864"/>
        <bgColor rgb="FF333333"/>
      </patternFill>
    </fill>
    <fill>
      <patternFill patternType="solid">
        <fgColor rgb="FFFFFFFF"/>
        <bgColor rgb="FFFFF2CC"/>
      </patternFill>
    </fill>
    <fill>
      <patternFill patternType="solid">
        <fgColor rgb="FFDDEBF7"/>
        <bgColor rgb="FFE2EFDA"/>
      </patternFill>
    </fill>
    <fill>
      <patternFill patternType="solid">
        <fgColor rgb="FFFFFF00"/>
        <bgColor rgb="FFFFFF00"/>
      </patternFill>
    </fill>
    <fill>
      <patternFill patternType="solid">
        <fgColor rgb="FFFCE4D6"/>
        <bgColor rgb="FFFFF2CC"/>
      </patternFill>
    </fill>
    <fill>
      <patternFill patternType="solid">
        <fgColor rgb="FFE2EFDA"/>
        <bgColor rgb="FFDDEBF7"/>
      </patternFill>
    </fill>
    <fill>
      <patternFill patternType="solid">
        <fgColor rgb="FFFFF2CC"/>
        <bgColor rgb="FFFCE4D6"/>
      </patternFill>
    </fill>
    <fill>
      <patternFill patternType="solid">
        <fgColor rgb="FFF8CBAD"/>
        <bgColor rgb="FFFCE4D6"/>
      </patternFill>
    </fill>
    <fill>
      <patternFill patternType="solid">
        <fgColor rgb="FFD9D9D9"/>
        <bgColor rgb="FFDDEBF7"/>
      </patternFill>
    </fill>
  </fills>
  <borders count="2">
    <border diagonalUp="false" diagonalDown="false">
      <left/>
      <right/>
      <top/>
      <bottom/>
      <diagonal/>
    </border>
    <border diagonalUp="false" diagonalDown="false">
      <left/>
      <right/>
      <top style="medium">
        <color rgb="FF8EA9DB"/>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5" fontId="9" fillId="4" borderId="0" xfId="0" applyFont="true" applyBorder="false" applyAlignment="false" applyProtection="false">
      <alignment horizontal="general" vertical="bottom" textRotation="0" wrapText="false" indent="0" shrinkToFit="false"/>
      <protection locked="true" hidden="false"/>
    </xf>
    <xf numFmtId="166" fontId="9" fillId="4"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8" fontId="5" fillId="3" borderId="1" xfId="0" applyFont="true" applyBorder="true" applyAlignment="false" applyProtection="false">
      <alignment horizontal="general"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8" fontId="5" fillId="4" borderId="1" xfId="0" applyFont="true" applyBorder="true" applyAlignment="false" applyProtection="false">
      <alignment horizontal="general" vertical="bottom" textRotation="0" wrapText="false" indent="0" shrinkToFit="false"/>
      <protection locked="true" hidden="false"/>
    </xf>
    <xf numFmtId="167" fontId="9" fillId="3" borderId="0" xfId="0" applyFont="true" applyBorder="false" applyAlignment="false" applyProtection="false">
      <alignment horizontal="general" vertical="bottom" textRotation="0" wrapText="false" indent="0" shrinkToFit="false"/>
      <protection locked="true" hidden="false"/>
    </xf>
    <xf numFmtId="168" fontId="5" fillId="3"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0" fontId="12" fillId="5"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64" fontId="5" fillId="1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2" fontId="5" fillId="7"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58"/>
    <col collapsed="false" customWidth="true" hidden="false" outlineLevel="0" max="3" min="3" style="0" width="11"/>
    <col collapsed="false" customWidth="true" hidden="false" outlineLevel="0" max="4" min="4" style="0" width="15"/>
    <col collapsed="false" customWidth="true" hidden="false" outlineLevel="0" max="5" min="5" style="0" width="10"/>
    <col collapsed="false" customWidth="true" hidden="false" outlineLevel="0" max="6" min="6" style="0" width="17"/>
    <col collapsed="false" customWidth="true" hidden="false" outlineLevel="0" max="7" min="7" style="0" width="10"/>
    <col collapsed="false" customWidth="true" hidden="false" outlineLevel="0" max="8" min="8" style="0" width="13"/>
  </cols>
  <sheetData>
    <row r="1" customFormat="false" ht="17.35" hidden="false" customHeight="false" outlineLevel="0" collapsed="false">
      <c r="A1" s="1" t="s">
        <v>0</v>
      </c>
      <c r="B1" s="2"/>
      <c r="C1" s="2"/>
      <c r="D1" s="2"/>
      <c r="E1" s="2"/>
      <c r="F1" s="2"/>
      <c r="G1" s="2"/>
      <c r="H1" s="2"/>
    </row>
    <row r="2" customFormat="false" ht="15" hidden="false" customHeight="false" outlineLevel="0" collapsed="false">
      <c r="A2" s="3" t="s">
        <v>1</v>
      </c>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4" t="s">
        <v>2</v>
      </c>
      <c r="B4" s="2"/>
      <c r="C4" s="2"/>
      <c r="D4" s="2"/>
      <c r="E4" s="2"/>
      <c r="F4" s="2"/>
      <c r="G4" s="2"/>
      <c r="H4" s="2"/>
    </row>
    <row r="5" customFormat="false" ht="31.5" hidden="false" customHeight="true" outlineLevel="0" collapsed="false">
      <c r="A5" s="5" t="s">
        <v>3</v>
      </c>
      <c r="B5" s="5" t="s">
        <v>4</v>
      </c>
      <c r="C5" s="5" t="s">
        <v>5</v>
      </c>
      <c r="D5" s="5" t="s">
        <v>6</v>
      </c>
      <c r="E5" s="5" t="s">
        <v>7</v>
      </c>
      <c r="F5" s="5" t="s">
        <v>8</v>
      </c>
      <c r="G5" s="5" t="s">
        <v>9</v>
      </c>
      <c r="H5" s="5" t="s">
        <v>10</v>
      </c>
    </row>
    <row r="6" customFormat="false" ht="15" hidden="false" customHeight="false" outlineLevel="0" collapsed="false">
      <c r="A6" s="6" t="s">
        <v>11</v>
      </c>
      <c r="B6" s="7" t="s">
        <v>12</v>
      </c>
      <c r="C6" s="7" t="s">
        <v>13</v>
      </c>
      <c r="D6" s="8" t="n">
        <f aca="false">ROUND('Recurring Budgets'!F2*60,0)/1440</f>
        <v>0.0520833333333333</v>
      </c>
      <c r="E6" s="9" t="n">
        <f aca="false">ROUND('Recurring Budgets'!F2*IF(H6="CFO",Assumptions!$B$5,Assumptions!$B$4),0)</f>
        <v>119</v>
      </c>
      <c r="F6" s="8" t="n">
        <f aca="false">ROUND('Recurring Budgets'!G2*60,0)/1440</f>
        <v>0</v>
      </c>
      <c r="G6" s="9" t="n">
        <f aca="false">ROUND('Recurring Budgets'!G2*Assumptions!$B$5,0)</f>
        <v>0</v>
      </c>
      <c r="H6" s="10" t="str">
        <f aca="false">'Recurring Budgets'!L2</f>
        <v>Staff</v>
      </c>
    </row>
    <row r="7" customFormat="false" ht="15" hidden="false" customHeight="false" outlineLevel="0" collapsed="false">
      <c r="A7" s="11"/>
      <c r="B7" s="12" t="s">
        <v>14</v>
      </c>
      <c r="C7" s="12" t="s">
        <v>15</v>
      </c>
      <c r="D7" s="13" t="n">
        <f aca="false">ROUND('Recurring Budgets'!F3*60,0)/1440</f>
        <v>0.0208333333333333</v>
      </c>
      <c r="E7" s="14" t="n">
        <f aca="false">ROUND('Recurring Budgets'!F3*IF(H7="CFO",Assumptions!$B$5,Assumptions!$B$4),0)</f>
        <v>48</v>
      </c>
      <c r="F7" s="13" t="n">
        <f aca="false">ROUND('Recurring Budgets'!G3*60,0)/1440</f>
        <v>0.0291666666666667</v>
      </c>
      <c r="G7" s="14" t="n">
        <f aca="false">ROUND('Recurring Budgets'!G3*Assumptions!$B$5,0)</f>
        <v>175</v>
      </c>
      <c r="H7" s="15" t="str">
        <f aca="false">'Recurring Budgets'!L3</f>
        <v>Staff</v>
      </c>
    </row>
    <row r="8" customFormat="false" ht="15" hidden="false" customHeight="false" outlineLevel="0" collapsed="false">
      <c r="A8" s="16" t="s">
        <v>16</v>
      </c>
      <c r="B8" s="17" t="s">
        <v>12</v>
      </c>
      <c r="C8" s="17" t="s">
        <v>13</v>
      </c>
      <c r="D8" s="18" t="n">
        <f aca="false">ROUND('Recurring Budgets'!F4*60,0)/1440</f>
        <v>0.0520833333333333</v>
      </c>
      <c r="E8" s="19" t="n">
        <f aca="false">ROUND('Recurring Budgets'!F4*IF(H8="CFO",Assumptions!$B$5,Assumptions!$B$4),0)</f>
        <v>119</v>
      </c>
      <c r="F8" s="18" t="n">
        <f aca="false">ROUND('Recurring Budgets'!G4*60,0)/1440</f>
        <v>0</v>
      </c>
      <c r="G8" s="19" t="n">
        <f aca="false">ROUND('Recurring Budgets'!G4*Assumptions!$B$5,0)</f>
        <v>0</v>
      </c>
      <c r="H8" s="20" t="str">
        <f aca="false">'Recurring Budgets'!L4</f>
        <v>Staff</v>
      </c>
    </row>
    <row r="9" customFormat="false" ht="15" hidden="false" customHeight="false" outlineLevel="0" collapsed="false">
      <c r="A9" s="21"/>
      <c r="B9" s="22" t="s">
        <v>17</v>
      </c>
      <c r="C9" s="22" t="s">
        <v>13</v>
      </c>
      <c r="D9" s="23" t="n">
        <f aca="false">ROUND('Recurring Budgets'!F5*60,0)/1440</f>
        <v>0.0208333333333333</v>
      </c>
      <c r="E9" s="24" t="n">
        <f aca="false">ROUND('Recurring Budgets'!F5*IF(H9="CFO",Assumptions!$B$5,Assumptions!$B$4),0)</f>
        <v>48</v>
      </c>
      <c r="F9" s="23" t="n">
        <f aca="false">ROUND('Recurring Budgets'!G5*60,0)/1440</f>
        <v>0.0520833333333333</v>
      </c>
      <c r="G9" s="24" t="n">
        <f aca="false">ROUND('Recurring Budgets'!G5*Assumptions!$B$5,0)</f>
        <v>313</v>
      </c>
      <c r="H9" s="25" t="str">
        <f aca="false">'Recurring Budgets'!L5</f>
        <v>Staff</v>
      </c>
    </row>
    <row r="10" customFormat="false" ht="15" hidden="false" customHeight="false" outlineLevel="0" collapsed="false">
      <c r="A10" s="21"/>
      <c r="B10" s="22" t="s">
        <v>18</v>
      </c>
      <c r="C10" s="22" t="s">
        <v>13</v>
      </c>
      <c r="D10" s="23" t="n">
        <f aca="false">ROUND('Recurring Budgets'!F6*60,0)/1440</f>
        <v>0.0208333333333333</v>
      </c>
      <c r="E10" s="24" t="n">
        <f aca="false">ROUND('Recurring Budgets'!F6*IF(H10="CFO",Assumptions!$B$5,Assumptions!$B$4),0)</f>
        <v>48</v>
      </c>
      <c r="F10" s="23" t="n">
        <f aca="false">ROUND('Recurring Budgets'!G6*60,0)/1440</f>
        <v>0</v>
      </c>
      <c r="G10" s="24" t="n">
        <f aca="false">ROUND('Recurring Budgets'!G6*Assumptions!$B$5,0)</f>
        <v>0</v>
      </c>
      <c r="H10" s="25" t="str">
        <f aca="false">'Recurring Budgets'!L6</f>
        <v>Staff</v>
      </c>
    </row>
    <row r="11" customFormat="false" ht="15" hidden="false" customHeight="false" outlineLevel="0" collapsed="false">
      <c r="A11" s="6" t="s">
        <v>19</v>
      </c>
      <c r="B11" s="7" t="s">
        <v>20</v>
      </c>
      <c r="C11" s="7" t="s">
        <v>21</v>
      </c>
      <c r="D11" s="8" t="n">
        <f aca="false">ROUND('Recurring Budgets'!F7*60,0)/1440</f>
        <v>0.0416666666666667</v>
      </c>
      <c r="E11" s="9" t="n">
        <f aca="false">ROUND('Recurring Budgets'!F7*IF(H11="CFO",Assumptions!$B$5,Assumptions!$B$4),0)</f>
        <v>95</v>
      </c>
      <c r="F11" s="8" t="n">
        <f aca="false">ROUND('Recurring Budgets'!G7*60,0)/1440</f>
        <v>0</v>
      </c>
      <c r="G11" s="9" t="n">
        <f aca="false">ROUND('Recurring Budgets'!G7*Assumptions!$B$5,0)</f>
        <v>0</v>
      </c>
      <c r="H11" s="10" t="str">
        <f aca="false">'Recurring Budgets'!L7</f>
        <v>Staff</v>
      </c>
    </row>
    <row r="12" customFormat="false" ht="15" hidden="false" customHeight="false" outlineLevel="0" collapsed="false">
      <c r="A12" s="16" t="s">
        <v>22</v>
      </c>
      <c r="B12" s="17" t="s">
        <v>12</v>
      </c>
      <c r="C12" s="17" t="s">
        <v>13</v>
      </c>
      <c r="D12" s="18" t="n">
        <f aca="false">ROUND('Recurring Budgets'!F8*60,0)/1440</f>
        <v>0.0520833333333333</v>
      </c>
      <c r="E12" s="19" t="n">
        <f aca="false">ROUND('Recurring Budgets'!F8*IF(H12="CFO",Assumptions!$B$5,Assumptions!$B$4),0)</f>
        <v>119</v>
      </c>
      <c r="F12" s="18" t="n">
        <f aca="false">ROUND('Recurring Budgets'!G8*60,0)/1440</f>
        <v>0</v>
      </c>
      <c r="G12" s="19" t="n">
        <f aca="false">ROUND('Recurring Budgets'!G8*Assumptions!$B$5,0)</f>
        <v>0</v>
      </c>
      <c r="H12" s="20" t="str">
        <f aca="false">'Recurring Budgets'!L8</f>
        <v>Staff</v>
      </c>
    </row>
    <row r="13" customFormat="false" ht="15" hidden="false" customHeight="false" outlineLevel="0" collapsed="false">
      <c r="A13" s="21"/>
      <c r="B13" s="22" t="s">
        <v>14</v>
      </c>
      <c r="C13" s="22" t="s">
        <v>15</v>
      </c>
      <c r="D13" s="23" t="n">
        <f aca="false">ROUND('Recurring Budgets'!F9*60,0)/1440</f>
        <v>0.09375</v>
      </c>
      <c r="E13" s="24" t="n">
        <f aca="false">ROUND('Recurring Budgets'!F9*IF(H13="CFO",Assumptions!$B$5,Assumptions!$B$4),0)</f>
        <v>214</v>
      </c>
      <c r="F13" s="23" t="n">
        <f aca="false">ROUND('Recurring Budgets'!G9*60,0)/1440</f>
        <v>0.0291666666666667</v>
      </c>
      <c r="G13" s="24" t="n">
        <f aca="false">ROUND('Recurring Budgets'!G9*Assumptions!$B$5,0)</f>
        <v>175</v>
      </c>
      <c r="H13" s="25" t="str">
        <f aca="false">'Recurring Budgets'!L9</f>
        <v>Staff</v>
      </c>
    </row>
    <row r="14" customFormat="false" ht="15" hidden="false" customHeight="false" outlineLevel="0" collapsed="false">
      <c r="A14" s="6" t="s">
        <v>23</v>
      </c>
      <c r="B14" s="7" t="s">
        <v>12</v>
      </c>
      <c r="C14" s="7" t="s">
        <v>13</v>
      </c>
      <c r="D14" s="8" t="n">
        <f aca="false">ROUND('Recurring Budgets'!F10*60,0)/1440</f>
        <v>0.0520833333333333</v>
      </c>
      <c r="E14" s="9" t="n">
        <f aca="false">ROUND('Recurring Budgets'!F10*IF(H14="CFO",Assumptions!$B$5,Assumptions!$B$4),0)</f>
        <v>119</v>
      </c>
      <c r="F14" s="8" t="n">
        <f aca="false">ROUND('Recurring Budgets'!G10*60,0)/1440</f>
        <v>0</v>
      </c>
      <c r="G14" s="9" t="n">
        <f aca="false">ROUND('Recurring Budgets'!G10*Assumptions!$B$5,0)</f>
        <v>0</v>
      </c>
      <c r="H14" s="10" t="str">
        <f aca="false">'Recurring Budgets'!L10</f>
        <v>Staff</v>
      </c>
    </row>
    <row r="15" customFormat="false" ht="15" hidden="false" customHeight="false" outlineLevel="0" collapsed="false">
      <c r="A15" s="11"/>
      <c r="B15" s="12" t="s">
        <v>14</v>
      </c>
      <c r="C15" s="12" t="s">
        <v>15</v>
      </c>
      <c r="D15" s="13" t="n">
        <f aca="false">ROUND('Recurring Budgets'!F11*60,0)/1440</f>
        <v>0.0347222222222222</v>
      </c>
      <c r="E15" s="14" t="n">
        <f aca="false">ROUND('Recurring Budgets'!F11*IF(H15="CFO",Assumptions!$B$5,Assumptions!$B$4),0)</f>
        <v>79</v>
      </c>
      <c r="F15" s="13" t="n">
        <f aca="false">ROUND('Recurring Budgets'!G11*60,0)/1440</f>
        <v>0.0291666666666667</v>
      </c>
      <c r="G15" s="14" t="n">
        <f aca="false">ROUND('Recurring Budgets'!G11*Assumptions!$B$5,0)</f>
        <v>175</v>
      </c>
      <c r="H15" s="15" t="str">
        <f aca="false">'Recurring Budgets'!L11</f>
        <v>Staff</v>
      </c>
    </row>
    <row r="16" customFormat="false" ht="15" hidden="false" customHeight="false" outlineLevel="0" collapsed="false">
      <c r="A16" s="16" t="s">
        <v>24</v>
      </c>
      <c r="B16" s="17" t="s">
        <v>12</v>
      </c>
      <c r="C16" s="17" t="s">
        <v>13</v>
      </c>
      <c r="D16" s="18" t="n">
        <f aca="false">ROUND('Recurring Budgets'!F12*60,0)/1440</f>
        <v>0.03125</v>
      </c>
      <c r="E16" s="19" t="n">
        <f aca="false">ROUND('Recurring Budgets'!F12*IF(H16="CFO",Assumptions!$B$5,Assumptions!$B$4),0)</f>
        <v>71</v>
      </c>
      <c r="F16" s="18" t="n">
        <f aca="false">ROUND('Recurring Budgets'!G12*60,0)/1440</f>
        <v>0</v>
      </c>
      <c r="G16" s="19" t="n">
        <f aca="false">ROUND('Recurring Budgets'!G12*Assumptions!$B$5,0)</f>
        <v>0</v>
      </c>
      <c r="H16" s="20" t="str">
        <f aca="false">'Recurring Budgets'!L12</f>
        <v>Staff</v>
      </c>
    </row>
    <row r="17" customFormat="false" ht="15" hidden="false" customHeight="false" outlineLevel="0" collapsed="false">
      <c r="A17" s="21"/>
      <c r="B17" s="22" t="s">
        <v>14</v>
      </c>
      <c r="C17" s="22" t="s">
        <v>15</v>
      </c>
      <c r="D17" s="23" t="n">
        <f aca="false">ROUND('Recurring Budgets'!F13*60,0)/1440</f>
        <v>0.0486111111111111</v>
      </c>
      <c r="E17" s="24" t="n">
        <f aca="false">ROUND('Recurring Budgets'!F13*IF(H17="CFO",Assumptions!$B$5,Assumptions!$B$4),0)</f>
        <v>111</v>
      </c>
      <c r="F17" s="23" t="n">
        <f aca="false">ROUND('Recurring Budgets'!G13*60,0)/1440</f>
        <v>0.0291666666666667</v>
      </c>
      <c r="G17" s="24" t="n">
        <f aca="false">ROUND('Recurring Budgets'!G13*Assumptions!$B$5,0)</f>
        <v>175</v>
      </c>
      <c r="H17" s="25" t="str">
        <f aca="false">'Recurring Budgets'!L13</f>
        <v>Staff</v>
      </c>
    </row>
    <row r="18" customFormat="false" ht="15" hidden="false" customHeight="false" outlineLevel="0" collapsed="false">
      <c r="A18" s="6" t="s">
        <v>25</v>
      </c>
      <c r="B18" s="7" t="s">
        <v>12</v>
      </c>
      <c r="C18" s="7" t="s">
        <v>13</v>
      </c>
      <c r="D18" s="8" t="n">
        <f aca="false">ROUND('Recurring Budgets'!F14*60,0)/1440</f>
        <v>0.0159722222222222</v>
      </c>
      <c r="E18" s="9" t="n">
        <f aca="false">ROUND('Recurring Budgets'!F14*IF(H18="CFO",Assumptions!$B$5,Assumptions!$B$4),0)</f>
        <v>36</v>
      </c>
      <c r="F18" s="8" t="n">
        <f aca="false">ROUND('Recurring Budgets'!G14*60,0)/1440</f>
        <v>0</v>
      </c>
      <c r="G18" s="9" t="n">
        <f aca="false">ROUND('Recurring Budgets'!G14*Assumptions!$B$5,0)</f>
        <v>0</v>
      </c>
      <c r="H18" s="10" t="str">
        <f aca="false">'Recurring Budgets'!L14</f>
        <v>Staff</v>
      </c>
    </row>
    <row r="19" customFormat="false" ht="15" hidden="false" customHeight="false" outlineLevel="0" collapsed="false">
      <c r="A19" s="11"/>
      <c r="B19" s="12" t="s">
        <v>14</v>
      </c>
      <c r="C19" s="12" t="s">
        <v>15</v>
      </c>
      <c r="D19" s="13" t="n">
        <f aca="false">ROUND('Recurring Budgets'!F15*60,0)/1440</f>
        <v>0.03125</v>
      </c>
      <c r="E19" s="14" t="n">
        <f aca="false">ROUND('Recurring Budgets'!F15*IF(H19="CFO",Assumptions!$B$5,Assumptions!$B$4),0)</f>
        <v>71</v>
      </c>
      <c r="F19" s="13" t="n">
        <f aca="false">ROUND('Recurring Budgets'!G15*60,0)/1440</f>
        <v>0.0159722222222222</v>
      </c>
      <c r="G19" s="14" t="n">
        <f aca="false">ROUND('Recurring Budgets'!G15*Assumptions!$B$5,0)</f>
        <v>96</v>
      </c>
      <c r="H19" s="15" t="str">
        <f aca="false">'Recurring Budgets'!L15</f>
        <v>Staff</v>
      </c>
    </row>
    <row r="20" customFormat="false" ht="15" hidden="false" customHeight="false" outlineLevel="0" collapsed="false">
      <c r="A20" s="16" t="s">
        <v>26</v>
      </c>
      <c r="B20" s="17" t="s">
        <v>12</v>
      </c>
      <c r="C20" s="17" t="s">
        <v>13</v>
      </c>
      <c r="D20" s="18" t="n">
        <f aca="false">ROUND('Recurring Budgets'!F16*60,0)/1440</f>
        <v>0.0159722222222222</v>
      </c>
      <c r="E20" s="19" t="n">
        <f aca="false">ROUND('Recurring Budgets'!F16*IF(H20="CFO",Assumptions!$B$5,Assumptions!$B$4),0)</f>
        <v>36</v>
      </c>
      <c r="F20" s="18" t="n">
        <f aca="false">ROUND('Recurring Budgets'!G16*60,0)/1440</f>
        <v>0</v>
      </c>
      <c r="G20" s="19" t="n">
        <f aca="false">ROUND('Recurring Budgets'!G16*Assumptions!$B$5,0)</f>
        <v>0</v>
      </c>
      <c r="H20" s="20" t="str">
        <f aca="false">'Recurring Budgets'!L16</f>
        <v>Staff</v>
      </c>
    </row>
    <row r="21" customFormat="false" ht="15" hidden="false" customHeight="false" outlineLevel="0" collapsed="false">
      <c r="A21" s="21"/>
      <c r="B21" s="22" t="s">
        <v>14</v>
      </c>
      <c r="C21" s="22" t="s">
        <v>15</v>
      </c>
      <c r="D21" s="23" t="n">
        <f aca="false">ROUND('Recurring Budgets'!F17*60,0)/1440</f>
        <v>0.0520833333333333</v>
      </c>
      <c r="E21" s="24" t="n">
        <f aca="false">ROUND('Recurring Budgets'!F17*IF(H21="CFO",Assumptions!$B$5,Assumptions!$B$4),0)</f>
        <v>119</v>
      </c>
      <c r="F21" s="23" t="n">
        <f aca="false">ROUND('Recurring Budgets'!G17*60,0)/1440</f>
        <v>0.0201388888888889</v>
      </c>
      <c r="G21" s="24" t="n">
        <f aca="false">ROUND('Recurring Budgets'!G17*Assumptions!$B$5,0)</f>
        <v>121</v>
      </c>
      <c r="H21" s="25" t="str">
        <f aca="false">'Recurring Budgets'!L17</f>
        <v>Staff</v>
      </c>
    </row>
    <row r="22" customFormat="false" ht="15" hidden="false" customHeight="false" outlineLevel="0" collapsed="false">
      <c r="A22" s="6" t="s">
        <v>27</v>
      </c>
      <c r="B22" s="7" t="s">
        <v>12</v>
      </c>
      <c r="C22" s="7" t="s">
        <v>13</v>
      </c>
      <c r="D22" s="8" t="n">
        <f aca="false">ROUND('Recurring Budgets'!F18*60,0)/1440</f>
        <v>0.03125</v>
      </c>
      <c r="E22" s="9" t="n">
        <f aca="false">ROUND('Recurring Budgets'!F18*IF(H22="CFO",Assumptions!$B$5,Assumptions!$B$4),0)</f>
        <v>71</v>
      </c>
      <c r="F22" s="8" t="n">
        <f aca="false">ROUND('Recurring Budgets'!G18*60,0)/1440</f>
        <v>0</v>
      </c>
      <c r="G22" s="9" t="n">
        <f aca="false">ROUND('Recurring Budgets'!G18*Assumptions!$B$5,0)</f>
        <v>0</v>
      </c>
      <c r="H22" s="10" t="str">
        <f aca="false">'Recurring Budgets'!L18</f>
        <v>Staff</v>
      </c>
    </row>
    <row r="23" customFormat="false" ht="15" hidden="false" customHeight="false" outlineLevel="0" collapsed="false">
      <c r="A23" s="11"/>
      <c r="B23" s="12" t="s">
        <v>28</v>
      </c>
      <c r="C23" s="12" t="s">
        <v>21</v>
      </c>
      <c r="D23" s="13" t="n">
        <f aca="false">ROUND('Recurring Budgets'!F19*60,0)/1440</f>
        <v>0.236111111111111</v>
      </c>
      <c r="E23" s="14" t="n">
        <f aca="false">ROUND('Recurring Budgets'!F19*IF(H23="CFO",Assumptions!$B$5,Assumptions!$B$4),0)</f>
        <v>538</v>
      </c>
      <c r="F23" s="13" t="n">
        <f aca="false">ROUND('Recurring Budgets'!G19*60,0)/1440</f>
        <v>0</v>
      </c>
      <c r="G23" s="14" t="n">
        <f aca="false">ROUND('Recurring Budgets'!G19*Assumptions!$B$5,0)</f>
        <v>0</v>
      </c>
      <c r="H23" s="15" t="str">
        <f aca="false">'Recurring Budgets'!L19</f>
        <v>Staff</v>
      </c>
    </row>
    <row r="24" customFormat="false" ht="15" hidden="false" customHeight="false" outlineLevel="0" collapsed="false">
      <c r="A24" s="11"/>
      <c r="B24" s="12" t="s">
        <v>14</v>
      </c>
      <c r="C24" s="12" t="s">
        <v>15</v>
      </c>
      <c r="D24" s="13" t="n">
        <f aca="false">ROUND('Recurring Budgets'!F20*60,0)/1440</f>
        <v>0.673611111111111</v>
      </c>
      <c r="E24" s="14" t="n">
        <f aca="false">ROUND('Recurring Budgets'!F20*IF(H24="CFO",Assumptions!$B$5,Assumptions!$B$4),0)</f>
        <v>1536</v>
      </c>
      <c r="F24" s="13" t="n">
        <f aca="false">ROUND('Recurring Budgets'!G20*60,0)/1440</f>
        <v>0.0416666666666667</v>
      </c>
      <c r="G24" s="14" t="n">
        <f aca="false">ROUND('Recurring Budgets'!G20*Assumptions!$B$5,0)</f>
        <v>250</v>
      </c>
      <c r="H24" s="15" t="str">
        <f aca="false">'Recurring Budgets'!L20</f>
        <v>Staff</v>
      </c>
    </row>
    <row r="25" customFormat="false" ht="15" hidden="false" customHeight="false" outlineLevel="0" collapsed="false">
      <c r="A25" s="11"/>
      <c r="B25" s="12" t="s">
        <v>29</v>
      </c>
      <c r="C25" s="12" t="s">
        <v>30</v>
      </c>
      <c r="D25" s="13" t="n">
        <f aca="false">ROUND('Recurring Budgets'!F21*60,0)/1440</f>
        <v>0.0763888888888889</v>
      </c>
      <c r="E25" s="14" t="n">
        <f aca="false">ROUND('Recurring Budgets'!F21*IF(H25="CFO",Assumptions!$B$5,Assumptions!$B$4),0)</f>
        <v>174</v>
      </c>
      <c r="F25" s="13" t="n">
        <f aca="false">ROUND('Recurring Budgets'!G21*60,0)/1440</f>
        <v>0</v>
      </c>
      <c r="G25" s="14" t="n">
        <f aca="false">ROUND('Recurring Budgets'!G21*Assumptions!$B$5,0)</f>
        <v>0</v>
      </c>
      <c r="H25" s="15" t="str">
        <f aca="false">'Recurring Budgets'!L21</f>
        <v>Staff</v>
      </c>
    </row>
    <row r="26" customFormat="false" ht="15" hidden="false" customHeight="false" outlineLevel="0" collapsed="false">
      <c r="A26" s="16" t="s">
        <v>31</v>
      </c>
      <c r="B26" s="17" t="s">
        <v>12</v>
      </c>
      <c r="C26" s="17" t="s">
        <v>13</v>
      </c>
      <c r="D26" s="18" t="n">
        <f aca="false">ROUND('Recurring Budgets'!F22*60,0)/1440</f>
        <v>0.0833333333333333</v>
      </c>
      <c r="E26" s="19" t="n">
        <f aca="false">ROUND('Recurring Budgets'!F22*IF(H26="CFO",Assumptions!$B$5,Assumptions!$B$4),0)</f>
        <v>190</v>
      </c>
      <c r="F26" s="18" t="n">
        <f aca="false">ROUND('Recurring Budgets'!G22*60,0)/1440</f>
        <v>0</v>
      </c>
      <c r="G26" s="19" t="n">
        <f aca="false">ROUND('Recurring Budgets'!G22*Assumptions!$B$5,0)</f>
        <v>0</v>
      </c>
      <c r="H26" s="20" t="str">
        <f aca="false">'Recurring Budgets'!L22</f>
        <v>Staff</v>
      </c>
    </row>
    <row r="27" customFormat="false" ht="15" hidden="false" customHeight="false" outlineLevel="0" collapsed="false">
      <c r="A27" s="21"/>
      <c r="B27" s="22" t="s">
        <v>14</v>
      </c>
      <c r="C27" s="22" t="s">
        <v>15</v>
      </c>
      <c r="D27" s="23" t="n">
        <f aca="false">ROUND('Recurring Budgets'!F23*60,0)/1440</f>
        <v>0.03125</v>
      </c>
      <c r="E27" s="24" t="n">
        <f aca="false">ROUND('Recurring Budgets'!F23*IF(H27="CFO",Assumptions!$B$5,Assumptions!$B$4),0)</f>
        <v>71</v>
      </c>
      <c r="F27" s="23" t="n">
        <f aca="false">ROUND('Recurring Budgets'!G23*60,0)/1440</f>
        <v>0.0208333333333333</v>
      </c>
      <c r="G27" s="24" t="n">
        <f aca="false">ROUND('Recurring Budgets'!G23*Assumptions!$B$5,0)</f>
        <v>125</v>
      </c>
      <c r="H27" s="25" t="str">
        <f aca="false">'Recurring Budgets'!L23</f>
        <v>Staff</v>
      </c>
    </row>
    <row r="28" customFormat="false" ht="15" hidden="false" customHeight="false" outlineLevel="0" collapsed="false">
      <c r="A28" s="6" t="s">
        <v>32</v>
      </c>
      <c r="B28" s="7" t="s">
        <v>28</v>
      </c>
      <c r="C28" s="7" t="s">
        <v>21</v>
      </c>
      <c r="D28" s="8" t="n">
        <f aca="false">ROUND('Recurring Budgets'!F24*60,0)/1440</f>
        <v>0.0208333333333333</v>
      </c>
      <c r="E28" s="9" t="n">
        <f aca="false">ROUND('Recurring Budgets'!F24*IF(H28="CFO",Assumptions!$B$5,Assumptions!$B$4),0)</f>
        <v>48</v>
      </c>
      <c r="F28" s="8" t="n">
        <f aca="false">ROUND('Recurring Budgets'!G24*60,0)/1440</f>
        <v>0</v>
      </c>
      <c r="G28" s="9" t="n">
        <f aca="false">ROUND('Recurring Budgets'!G24*Assumptions!$B$5,0)</f>
        <v>0</v>
      </c>
      <c r="H28" s="10" t="str">
        <f aca="false">'Recurring Budgets'!L24</f>
        <v>Staff</v>
      </c>
    </row>
    <row r="29" customFormat="false" ht="15" hidden="false" customHeight="false" outlineLevel="0" collapsed="false">
      <c r="A29" s="11"/>
      <c r="B29" s="12" t="s">
        <v>14</v>
      </c>
      <c r="C29" s="12" t="s">
        <v>15</v>
      </c>
      <c r="D29" s="13" t="n">
        <f aca="false">ROUND('Recurring Budgets'!F25*60,0)/1440</f>
        <v>0.118055555555556</v>
      </c>
      <c r="E29" s="14" t="n">
        <f aca="false">ROUND('Recurring Budgets'!F25*IF(H29="CFO",Assumptions!$B$5,Assumptions!$B$4),0)</f>
        <v>269</v>
      </c>
      <c r="F29" s="13" t="n">
        <f aca="false">ROUND('Recurring Budgets'!G25*60,0)/1440</f>
        <v>0.0458333333333333</v>
      </c>
      <c r="G29" s="14" t="n">
        <f aca="false">ROUND('Recurring Budgets'!G25*Assumptions!$B$5,0)</f>
        <v>275</v>
      </c>
      <c r="H29" s="15" t="str">
        <f aca="false">'Recurring Budgets'!L25</f>
        <v>Staff</v>
      </c>
    </row>
    <row r="30" customFormat="false" ht="15" hidden="false" customHeight="false" outlineLevel="0" collapsed="false">
      <c r="A30" s="16" t="s">
        <v>33</v>
      </c>
      <c r="B30" s="17" t="s">
        <v>12</v>
      </c>
      <c r="C30" s="17" t="s">
        <v>13</v>
      </c>
      <c r="D30" s="18" t="n">
        <f aca="false">ROUND('Recurring Budgets'!F26*60,0)/1440</f>
        <v>0.03125</v>
      </c>
      <c r="E30" s="19" t="n">
        <f aca="false">ROUND('Recurring Budgets'!F26*IF(H30="CFO",Assumptions!$B$5,Assumptions!$B$4),0)</f>
        <v>71</v>
      </c>
      <c r="F30" s="18" t="n">
        <f aca="false">ROUND('Recurring Budgets'!G26*60,0)/1440</f>
        <v>0</v>
      </c>
      <c r="G30" s="19" t="n">
        <f aca="false">ROUND('Recurring Budgets'!G26*Assumptions!$B$5,0)</f>
        <v>0</v>
      </c>
      <c r="H30" s="20" t="str">
        <f aca="false">'Recurring Budgets'!L26</f>
        <v>Staff</v>
      </c>
    </row>
    <row r="31" customFormat="false" ht="15" hidden="false" customHeight="false" outlineLevel="0" collapsed="false">
      <c r="A31" s="21"/>
      <c r="B31" s="22" t="s">
        <v>14</v>
      </c>
      <c r="C31" s="22" t="s">
        <v>15</v>
      </c>
      <c r="D31" s="23" t="n">
        <f aca="false">ROUND('Recurring Budgets'!F27*60,0)/1440</f>
        <v>0.288194444444444</v>
      </c>
      <c r="E31" s="24" t="n">
        <f aca="false">ROUND('Recurring Budgets'!F27*IF(H31="CFO",Assumptions!$B$5,Assumptions!$B$4),0)</f>
        <v>657</v>
      </c>
      <c r="F31" s="23" t="n">
        <f aca="false">ROUND('Recurring Budgets'!G27*60,0)/1440</f>
        <v>0.0333333333333333</v>
      </c>
      <c r="G31" s="24" t="n">
        <f aca="false">ROUND('Recurring Budgets'!G27*Assumptions!$B$5,0)</f>
        <v>200</v>
      </c>
      <c r="H31" s="25" t="str">
        <f aca="false">'Recurring Budgets'!L27</f>
        <v>Staff</v>
      </c>
    </row>
    <row r="32" customFormat="false" ht="15" hidden="false" customHeight="false" outlineLevel="0" collapsed="false">
      <c r="A32" s="6" t="s">
        <v>34</v>
      </c>
      <c r="B32" s="7" t="s">
        <v>12</v>
      </c>
      <c r="C32" s="7" t="s">
        <v>13</v>
      </c>
      <c r="D32" s="8" t="n">
        <f aca="false">ROUND('Recurring Budgets'!F28*60,0)/1440</f>
        <v>0.03125</v>
      </c>
      <c r="E32" s="9" t="n">
        <f aca="false">ROUND('Recurring Budgets'!F28*IF(H32="CFO",Assumptions!$B$5,Assumptions!$B$4),0)</f>
        <v>71</v>
      </c>
      <c r="F32" s="8" t="n">
        <f aca="false">ROUND('Recurring Budgets'!G28*60,0)/1440</f>
        <v>0</v>
      </c>
      <c r="G32" s="9" t="n">
        <f aca="false">ROUND('Recurring Budgets'!G28*Assumptions!$B$5,0)</f>
        <v>0</v>
      </c>
      <c r="H32" s="10" t="str">
        <f aca="false">'Recurring Budgets'!L28</f>
        <v>Staff</v>
      </c>
    </row>
    <row r="33" customFormat="false" ht="15" hidden="false" customHeight="false" outlineLevel="0" collapsed="false">
      <c r="A33" s="11"/>
      <c r="B33" s="12" t="s">
        <v>14</v>
      </c>
      <c r="C33" s="12" t="s">
        <v>15</v>
      </c>
      <c r="D33" s="13" t="n">
        <f aca="false">ROUND('Recurring Budgets'!F29*60,0)/1440</f>
        <v>0.0173611111111111</v>
      </c>
      <c r="E33" s="14" t="n">
        <f aca="false">ROUND('Recurring Budgets'!F29*IF(H33="CFO",Assumptions!$B$5,Assumptions!$B$4),0)</f>
        <v>40</v>
      </c>
      <c r="F33" s="13" t="n">
        <f aca="false">ROUND('Recurring Budgets'!G29*60,0)/1440</f>
        <v>0.0208333333333333</v>
      </c>
      <c r="G33" s="14" t="n">
        <f aca="false">ROUND('Recurring Budgets'!G29*Assumptions!$B$5,0)</f>
        <v>125</v>
      </c>
      <c r="H33" s="15" t="str">
        <f aca="false">'Recurring Budgets'!L29</f>
        <v>Staff</v>
      </c>
    </row>
    <row r="34" customFormat="false" ht="15" hidden="false" customHeight="false" outlineLevel="0" collapsed="false">
      <c r="A34" s="16" t="s">
        <v>35</v>
      </c>
      <c r="B34" s="17" t="s">
        <v>12</v>
      </c>
      <c r="C34" s="17" t="s">
        <v>13</v>
      </c>
      <c r="D34" s="18" t="n">
        <f aca="false">ROUND('Recurring Budgets'!F30*60,0)/1440</f>
        <v>0.0833333333333333</v>
      </c>
      <c r="E34" s="19" t="n">
        <f aca="false">ROUND('Recurring Budgets'!F30*IF(H34="CFO",Assumptions!$B$5,Assumptions!$B$4),0)</f>
        <v>190</v>
      </c>
      <c r="F34" s="18" t="n">
        <f aca="false">ROUND('Recurring Budgets'!G30*60,0)/1440</f>
        <v>0</v>
      </c>
      <c r="G34" s="19" t="n">
        <f aca="false">ROUND('Recurring Budgets'!G30*Assumptions!$B$5,0)</f>
        <v>0</v>
      </c>
      <c r="H34" s="20" t="str">
        <f aca="false">'Recurring Budgets'!L30</f>
        <v>Staff</v>
      </c>
    </row>
    <row r="35" customFormat="false" ht="15" hidden="false" customHeight="false" outlineLevel="0" collapsed="false">
      <c r="A35" s="21"/>
      <c r="B35" s="22" t="s">
        <v>14</v>
      </c>
      <c r="C35" s="22" t="s">
        <v>15</v>
      </c>
      <c r="D35" s="23" t="n">
        <f aca="false">ROUND('Recurring Budgets'!F31*60,0)/1440</f>
        <v>0.121527777777778</v>
      </c>
      <c r="E35" s="24" t="n">
        <f aca="false">ROUND('Recurring Budgets'!F31*IF(H35="CFO",Assumptions!$B$5,Assumptions!$B$4),0)</f>
        <v>277</v>
      </c>
      <c r="F35" s="23" t="n">
        <f aca="false">ROUND('Recurring Budgets'!G31*60,0)/1440</f>
        <v>0.0520833333333333</v>
      </c>
      <c r="G35" s="24" t="n">
        <f aca="false">ROUND('Recurring Budgets'!G31*Assumptions!$B$5,0)</f>
        <v>313</v>
      </c>
      <c r="H35" s="25" t="str">
        <f aca="false">'Recurring Budgets'!L31</f>
        <v>Staff</v>
      </c>
    </row>
    <row r="36" customFormat="false" ht="15" hidden="false" customHeight="false" outlineLevel="0" collapsed="false">
      <c r="A36" s="6" t="s">
        <v>36</v>
      </c>
      <c r="B36" s="7" t="s">
        <v>12</v>
      </c>
      <c r="C36" s="7" t="s">
        <v>13</v>
      </c>
      <c r="D36" s="8" t="n">
        <f aca="false">ROUND('Recurring Budgets'!F32*60,0)/1440</f>
        <v>0.0833333333333333</v>
      </c>
      <c r="E36" s="9" t="n">
        <f aca="false">ROUND('Recurring Budgets'!F32*IF(H36="CFO",Assumptions!$B$5,Assumptions!$B$4),0)</f>
        <v>190</v>
      </c>
      <c r="F36" s="8" t="n">
        <f aca="false">ROUND('Recurring Budgets'!G32*60,0)/1440</f>
        <v>0</v>
      </c>
      <c r="G36" s="9" t="n">
        <f aca="false">ROUND('Recurring Budgets'!G32*Assumptions!$B$5,0)</f>
        <v>0</v>
      </c>
      <c r="H36" s="10" t="str">
        <f aca="false">'Recurring Budgets'!L32</f>
        <v>Staff</v>
      </c>
    </row>
    <row r="37" customFormat="false" ht="15" hidden="false" customHeight="false" outlineLevel="0" collapsed="false">
      <c r="A37" s="11"/>
      <c r="B37" s="12" t="s">
        <v>14</v>
      </c>
      <c r="C37" s="12" t="s">
        <v>15</v>
      </c>
      <c r="D37" s="13" t="n">
        <f aca="false">ROUND('Recurring Budgets'!F33*60,0)/1440</f>
        <v>0.114583333333333</v>
      </c>
      <c r="E37" s="14" t="n">
        <f aca="false">ROUND('Recurring Budgets'!F33*IF(H37="CFO",Assumptions!$B$5,Assumptions!$B$4),0)</f>
        <v>688</v>
      </c>
      <c r="F37" s="13" t="n">
        <f aca="false">ROUND('Recurring Budgets'!G33*60,0)/1440</f>
        <v>0.0208333333333333</v>
      </c>
      <c r="G37" s="14" t="n">
        <f aca="false">ROUND('Recurring Budgets'!G33*Assumptions!$B$5,0)</f>
        <v>125</v>
      </c>
      <c r="H37" s="15" t="str">
        <f aca="false">'Recurring Budgets'!L33</f>
        <v>CFO</v>
      </c>
    </row>
    <row r="38" customFormat="false" ht="15" hidden="false" customHeight="false" outlineLevel="0" collapsed="false">
      <c r="A38" s="16" t="s">
        <v>37</v>
      </c>
      <c r="B38" s="17" t="s">
        <v>12</v>
      </c>
      <c r="C38" s="17" t="s">
        <v>13</v>
      </c>
      <c r="D38" s="18" t="n">
        <f aca="false">ROUND('Recurring Budgets'!F34*60,0)/1440</f>
        <v>0.03125</v>
      </c>
      <c r="E38" s="19" t="n">
        <f aca="false">ROUND('Recurring Budgets'!F34*IF(H38="CFO",Assumptions!$B$5,Assumptions!$B$4),0)</f>
        <v>71</v>
      </c>
      <c r="F38" s="18" t="n">
        <f aca="false">ROUND('Recurring Budgets'!G34*60,0)/1440</f>
        <v>0</v>
      </c>
      <c r="G38" s="19" t="n">
        <f aca="false">ROUND('Recurring Budgets'!G34*Assumptions!$B$5,0)</f>
        <v>0</v>
      </c>
      <c r="H38" s="20" t="str">
        <f aca="false">'Recurring Budgets'!L34</f>
        <v>Staff</v>
      </c>
    </row>
    <row r="39" customFormat="false" ht="15" hidden="false" customHeight="false" outlineLevel="0" collapsed="false">
      <c r="A39" s="21"/>
      <c r="B39" s="22" t="s">
        <v>14</v>
      </c>
      <c r="C39" s="22" t="s">
        <v>15</v>
      </c>
      <c r="D39" s="23" t="n">
        <f aca="false">ROUND('Recurring Budgets'!F35*60,0)/1440</f>
        <v>0.319444444444444</v>
      </c>
      <c r="E39" s="24" t="n">
        <f aca="false">ROUND('Recurring Budgets'!F35*IF(H39="CFO",Assumptions!$B$5,Assumptions!$B$4),0)</f>
        <v>728</v>
      </c>
      <c r="F39" s="23" t="n">
        <f aca="false">ROUND('Recurring Budgets'!G35*60,0)/1440</f>
        <v>0.05</v>
      </c>
      <c r="G39" s="24" t="n">
        <f aca="false">ROUND('Recurring Budgets'!G35*Assumptions!$B$5,0)</f>
        <v>300</v>
      </c>
      <c r="H39" s="25" t="str">
        <f aca="false">'Recurring Budgets'!L35</f>
        <v>Staff</v>
      </c>
    </row>
    <row r="40" customFormat="false" ht="15" hidden="false" customHeight="false" outlineLevel="0" collapsed="false">
      <c r="A40" s="6" t="s">
        <v>38</v>
      </c>
      <c r="B40" s="7" t="s">
        <v>12</v>
      </c>
      <c r="C40" s="7" t="s">
        <v>13</v>
      </c>
      <c r="D40" s="8" t="n">
        <f aca="false">ROUND('Recurring Budgets'!F36*60,0)/1440</f>
        <v>0.0833333333333333</v>
      </c>
      <c r="E40" s="9" t="n">
        <f aca="false">ROUND('Recurring Budgets'!F36*IF(H40="CFO",Assumptions!$B$5,Assumptions!$B$4),0)</f>
        <v>190</v>
      </c>
      <c r="F40" s="8" t="n">
        <f aca="false">ROUND('Recurring Budgets'!G36*60,0)/1440</f>
        <v>0</v>
      </c>
      <c r="G40" s="9" t="n">
        <f aca="false">ROUND('Recurring Budgets'!G36*Assumptions!$B$5,0)</f>
        <v>0</v>
      </c>
      <c r="H40" s="10" t="str">
        <f aca="false">'Recurring Budgets'!L36</f>
        <v>Staff</v>
      </c>
    </row>
    <row r="41" customFormat="false" ht="15" hidden="false" customHeight="false" outlineLevel="0" collapsed="false">
      <c r="A41" s="11"/>
      <c r="B41" s="12" t="s">
        <v>14</v>
      </c>
      <c r="C41" s="12" t="s">
        <v>15</v>
      </c>
      <c r="D41" s="13" t="n">
        <f aca="false">ROUND('Recurring Budgets'!F37*60,0)/1440</f>
        <v>0.184027777777778</v>
      </c>
      <c r="E41" s="14" t="n">
        <f aca="false">ROUND('Recurring Budgets'!F37*IF(H41="CFO",Assumptions!$B$5,Assumptions!$B$4),0)</f>
        <v>420</v>
      </c>
      <c r="F41" s="13" t="n">
        <f aca="false">ROUND('Recurring Budgets'!G37*60,0)/1440</f>
        <v>0.0291666666666667</v>
      </c>
      <c r="G41" s="14" t="n">
        <f aca="false">ROUND('Recurring Budgets'!G37*Assumptions!$B$5,0)</f>
        <v>175</v>
      </c>
      <c r="H41" s="15" t="str">
        <f aca="false">'Recurring Budgets'!L37</f>
        <v>Staff</v>
      </c>
    </row>
    <row r="42" customFormat="false" ht="15" hidden="false" customHeight="false" outlineLevel="0" collapsed="false">
      <c r="A42" s="16" t="s">
        <v>39</v>
      </c>
      <c r="B42" s="17" t="s">
        <v>12</v>
      </c>
      <c r="C42" s="17" t="s">
        <v>13</v>
      </c>
      <c r="D42" s="18" t="n">
        <f aca="false">ROUND('Recurring Budgets'!F38*60,0)/1440</f>
        <v>0.0159722222222222</v>
      </c>
      <c r="E42" s="19" t="n">
        <f aca="false">ROUND('Recurring Budgets'!F38*IF(H42="CFO",Assumptions!$B$5,Assumptions!$B$4),0)</f>
        <v>36</v>
      </c>
      <c r="F42" s="18" t="n">
        <f aca="false">ROUND('Recurring Budgets'!G38*60,0)/1440</f>
        <v>0</v>
      </c>
      <c r="G42" s="19" t="n">
        <f aca="false">ROUND('Recurring Budgets'!G38*Assumptions!$B$5,0)</f>
        <v>0</v>
      </c>
      <c r="H42" s="20" t="str">
        <f aca="false">'Recurring Budgets'!L38</f>
        <v>Staff</v>
      </c>
    </row>
    <row r="43" customFormat="false" ht="15" hidden="false" customHeight="false" outlineLevel="0" collapsed="false">
      <c r="A43" s="21"/>
      <c r="B43" s="22" t="s">
        <v>14</v>
      </c>
      <c r="C43" s="22" t="s">
        <v>15</v>
      </c>
      <c r="D43" s="23" t="n">
        <f aca="false">ROUND('Recurring Budgets'!F39*60,0)/1440</f>
        <v>0.03125</v>
      </c>
      <c r="E43" s="24" t="n">
        <f aca="false">ROUND('Recurring Budgets'!F39*IF(H43="CFO",Assumptions!$B$5,Assumptions!$B$4),0)</f>
        <v>71</v>
      </c>
      <c r="F43" s="23" t="n">
        <f aca="false">ROUND('Recurring Budgets'!G39*60,0)/1440</f>
        <v>0.0208333333333333</v>
      </c>
      <c r="G43" s="24" t="n">
        <f aca="false">ROUND('Recurring Budgets'!G39*Assumptions!$B$5,0)</f>
        <v>125</v>
      </c>
      <c r="H43" s="25" t="str">
        <f aca="false">'Recurring Budgets'!L39</f>
        <v>Staff</v>
      </c>
    </row>
    <row r="44" customFormat="false" ht="15" hidden="false" customHeight="false" outlineLevel="0" collapsed="false">
      <c r="A44" s="6" t="s">
        <v>40</v>
      </c>
      <c r="B44" s="7" t="s">
        <v>12</v>
      </c>
      <c r="C44" s="7" t="s">
        <v>13</v>
      </c>
      <c r="D44" s="8" t="n">
        <f aca="false">ROUND('Recurring Budgets'!F40*60,0)/1440</f>
        <v>0.03125</v>
      </c>
      <c r="E44" s="9" t="n">
        <f aca="false">ROUND('Recurring Budgets'!F40*IF(H44="CFO",Assumptions!$B$5,Assumptions!$B$4),0)</f>
        <v>71</v>
      </c>
      <c r="F44" s="8" t="n">
        <f aca="false">ROUND('Recurring Budgets'!G40*60,0)/1440</f>
        <v>0</v>
      </c>
      <c r="G44" s="9" t="n">
        <f aca="false">ROUND('Recurring Budgets'!G40*Assumptions!$B$5,0)</f>
        <v>0</v>
      </c>
      <c r="H44" s="10" t="str">
        <f aca="false">'Recurring Budgets'!L40</f>
        <v>Staff</v>
      </c>
    </row>
    <row r="45" customFormat="false" ht="15" hidden="false" customHeight="false" outlineLevel="0" collapsed="false">
      <c r="A45" s="11"/>
      <c r="B45" s="12" t="s">
        <v>14</v>
      </c>
      <c r="C45" s="12" t="s">
        <v>15</v>
      </c>
      <c r="D45" s="13" t="n">
        <f aca="false">ROUND('Recurring Budgets'!F41*60,0)/1440</f>
        <v>0.239583333333333</v>
      </c>
      <c r="E45" s="14" t="n">
        <f aca="false">ROUND('Recurring Budgets'!F41*IF(H45="CFO",Assumptions!$B$5,Assumptions!$B$4),0)</f>
        <v>1438</v>
      </c>
      <c r="F45" s="13" t="n">
        <f aca="false">ROUND('Recurring Budgets'!G41*60,0)/1440</f>
        <v>0.0201388888888889</v>
      </c>
      <c r="G45" s="14" t="n">
        <f aca="false">ROUND('Recurring Budgets'!G41*Assumptions!$B$5,0)</f>
        <v>121</v>
      </c>
      <c r="H45" s="15" t="str">
        <f aca="false">'Recurring Budgets'!L41</f>
        <v>CFO</v>
      </c>
    </row>
    <row r="46" customFormat="false" ht="15" hidden="false" customHeight="false" outlineLevel="0" collapsed="false">
      <c r="A46" s="16" t="s">
        <v>41</v>
      </c>
      <c r="B46" s="17" t="s">
        <v>42</v>
      </c>
      <c r="C46" s="17" t="s">
        <v>21</v>
      </c>
      <c r="D46" s="18" t="n">
        <f aca="false">ROUND('Recurring Budgets'!F43*60,0)/1440</f>
        <v>0.125</v>
      </c>
      <c r="E46" s="19" t="n">
        <f aca="false">ROUND('Recurring Budgets'!F43*IF(H46="CFO",Assumptions!$B$5,Assumptions!$B$4),0)</f>
        <v>750</v>
      </c>
      <c r="F46" s="18" t="n">
        <f aca="false">ROUND('Recurring Budgets'!G43*60,0)/1440</f>
        <v>0</v>
      </c>
      <c r="G46" s="19" t="n">
        <f aca="false">ROUND('Recurring Budgets'!G43*Assumptions!$B$5,0)</f>
        <v>0</v>
      </c>
      <c r="H46" s="20" t="str">
        <f aca="false">'Recurring Budgets'!L43</f>
        <v>CFO</v>
      </c>
    </row>
    <row r="47" customFormat="false" ht="15" hidden="false" customHeight="false" outlineLevel="0" collapsed="false">
      <c r="A47" s="21"/>
      <c r="B47" s="22" t="s">
        <v>14</v>
      </c>
      <c r="C47" s="22" t="s">
        <v>15</v>
      </c>
      <c r="D47" s="23" t="n">
        <f aca="false">ROUND('Recurring Budgets'!F44*60,0)/1440</f>
        <v>0.229166666666667</v>
      </c>
      <c r="E47" s="24" t="n">
        <f aca="false">ROUND('Recurring Budgets'!F44*IF(H47="CFO",Assumptions!$B$5,Assumptions!$B$4),0)</f>
        <v>1375</v>
      </c>
      <c r="F47" s="23" t="n">
        <f aca="false">ROUND('Recurring Budgets'!G44*60,0)/1440</f>
        <v>0.0729166666666667</v>
      </c>
      <c r="G47" s="24" t="n">
        <f aca="false">ROUND('Recurring Budgets'!G44*Assumptions!$B$5,0)</f>
        <v>438</v>
      </c>
      <c r="H47" s="25" t="str">
        <f aca="false">'Recurring Budgets'!L44</f>
        <v>CFO</v>
      </c>
    </row>
    <row r="48" customFormat="false" ht="15" hidden="false" customHeight="false" outlineLevel="0" collapsed="false">
      <c r="A48" s="6" t="s">
        <v>43</v>
      </c>
      <c r="B48" s="7" t="s">
        <v>12</v>
      </c>
      <c r="C48" s="7" t="s">
        <v>13</v>
      </c>
      <c r="D48" s="8" t="n">
        <f aca="false">ROUND('Recurring Budgets'!F45*60,0)/1440</f>
        <v>0.0833333333333333</v>
      </c>
      <c r="E48" s="9" t="n">
        <f aca="false">ROUND('Recurring Budgets'!F45*IF(H48="CFO",Assumptions!$B$5,Assumptions!$B$4),0)</f>
        <v>190</v>
      </c>
      <c r="F48" s="8" t="n">
        <f aca="false">ROUND('Recurring Budgets'!G45*60,0)/1440</f>
        <v>0</v>
      </c>
      <c r="G48" s="9" t="n">
        <f aca="false">ROUND('Recurring Budgets'!G45*Assumptions!$B$5,0)</f>
        <v>0</v>
      </c>
      <c r="H48" s="10" t="str">
        <f aca="false">'Recurring Budgets'!L45</f>
        <v>Staff</v>
      </c>
    </row>
    <row r="49" customFormat="false" ht="15" hidden="false" customHeight="false" outlineLevel="0" collapsed="false">
      <c r="A49" s="11"/>
      <c r="B49" s="12" t="s">
        <v>14</v>
      </c>
      <c r="C49" s="12" t="s">
        <v>15</v>
      </c>
      <c r="D49" s="13" t="n">
        <f aca="false">ROUND('Recurring Budgets'!F46*60,0)/1440</f>
        <v>0.923611111111111</v>
      </c>
      <c r="E49" s="14" t="n">
        <f aca="false">ROUND('Recurring Budgets'!F46*IF(H49="CFO",Assumptions!$B$5,Assumptions!$B$4),0)</f>
        <v>2106</v>
      </c>
      <c r="F49" s="13" t="n">
        <f aca="false">ROUND('Recurring Budgets'!G46*60,0)/1440</f>
        <v>0.0625</v>
      </c>
      <c r="G49" s="14" t="n">
        <f aca="false">ROUND('Recurring Budgets'!G46*Assumptions!$B$5,0)</f>
        <v>375</v>
      </c>
      <c r="H49" s="15" t="str">
        <f aca="false">'Recurring Budgets'!L46</f>
        <v>Staff</v>
      </c>
    </row>
    <row r="50" customFormat="false" ht="15" hidden="false" customHeight="false" outlineLevel="0" collapsed="false">
      <c r="A50" s="11"/>
      <c r="B50" s="12" t="s">
        <v>44</v>
      </c>
      <c r="C50" s="12" t="s">
        <v>30</v>
      </c>
      <c r="D50" s="13" t="n">
        <f aca="false">ROUND('Recurring Budgets'!F47*60,0)/1440</f>
        <v>0.107638888888889</v>
      </c>
      <c r="E50" s="14" t="n">
        <f aca="false">ROUND('Recurring Budgets'!F47*IF(H50="CFO",Assumptions!$B$5,Assumptions!$B$4),0)</f>
        <v>245</v>
      </c>
      <c r="F50" s="13" t="n">
        <f aca="false">ROUND('Recurring Budgets'!G47*60,0)/1440</f>
        <v>0</v>
      </c>
      <c r="G50" s="14" t="n">
        <f aca="false">ROUND('Recurring Budgets'!G47*Assumptions!$B$5,0)</f>
        <v>0</v>
      </c>
      <c r="H50" s="15" t="str">
        <f aca="false">'Recurring Budgets'!L47</f>
        <v>Staff</v>
      </c>
    </row>
    <row r="51" customFormat="false" ht="15" hidden="false" customHeight="false" outlineLevel="0" collapsed="false">
      <c r="A51" s="16" t="s">
        <v>45</v>
      </c>
      <c r="B51" s="17" t="s">
        <v>12</v>
      </c>
      <c r="C51" s="17" t="s">
        <v>13</v>
      </c>
      <c r="D51" s="18" t="n">
        <f aca="false">ROUND('Recurring Budgets'!F48*60,0)/1440</f>
        <v>0.0833333333333333</v>
      </c>
      <c r="E51" s="19" t="n">
        <f aca="false">ROUND('Recurring Budgets'!F48*IF(H51="CFO",Assumptions!$B$5,Assumptions!$B$4),0)</f>
        <v>190</v>
      </c>
      <c r="F51" s="18" t="n">
        <f aca="false">ROUND('Recurring Budgets'!G48*60,0)/1440</f>
        <v>0</v>
      </c>
      <c r="G51" s="19" t="n">
        <f aca="false">ROUND('Recurring Budgets'!G48*Assumptions!$B$5,0)</f>
        <v>0</v>
      </c>
      <c r="H51" s="20" t="str">
        <f aca="false">'Recurring Budgets'!L48</f>
        <v>Staff</v>
      </c>
    </row>
    <row r="52" customFormat="false" ht="15" hidden="false" customHeight="false" outlineLevel="0" collapsed="false">
      <c r="A52" s="6" t="s">
        <v>46</v>
      </c>
      <c r="B52" s="7" t="s">
        <v>12</v>
      </c>
      <c r="C52" s="7" t="s">
        <v>13</v>
      </c>
      <c r="D52" s="8" t="n">
        <f aca="false">ROUND('Recurring Budgets'!F49*60,0)/1440</f>
        <v>0.03125</v>
      </c>
      <c r="E52" s="9" t="n">
        <f aca="false">ROUND('Recurring Budgets'!F49*IF(H52="CFO",Assumptions!$B$5,Assumptions!$B$4),0)</f>
        <v>71</v>
      </c>
      <c r="F52" s="8" t="n">
        <f aca="false">ROUND('Recurring Budgets'!G49*60,0)/1440</f>
        <v>0</v>
      </c>
      <c r="G52" s="9" t="n">
        <f aca="false">ROUND('Recurring Budgets'!G49*Assumptions!$B$5,0)</f>
        <v>0</v>
      </c>
      <c r="H52" s="10" t="str">
        <f aca="false">'Recurring Budgets'!L49</f>
        <v>Staff</v>
      </c>
    </row>
    <row r="53" customFormat="false" ht="15" hidden="false" customHeight="false" outlineLevel="0" collapsed="false">
      <c r="A53" s="11"/>
      <c r="B53" s="12" t="s">
        <v>28</v>
      </c>
      <c r="C53" s="12" t="s">
        <v>21</v>
      </c>
      <c r="D53" s="13" t="n">
        <f aca="false">ROUND('Recurring Budgets'!F50*60,0)/1440</f>
        <v>0.0138888888888889</v>
      </c>
      <c r="E53" s="14" t="n">
        <f aca="false">ROUND('Recurring Budgets'!F50*IF(H53="CFO",Assumptions!$B$5,Assumptions!$B$4),0)</f>
        <v>32</v>
      </c>
      <c r="F53" s="13" t="n">
        <f aca="false">ROUND('Recurring Budgets'!G50*60,0)/1440</f>
        <v>0</v>
      </c>
      <c r="G53" s="14" t="n">
        <f aca="false">ROUND('Recurring Budgets'!G50*Assumptions!$B$5,0)</f>
        <v>0</v>
      </c>
      <c r="H53" s="15" t="str">
        <f aca="false">'Recurring Budgets'!L50</f>
        <v>Staff</v>
      </c>
    </row>
    <row r="54" customFormat="false" ht="15" hidden="false" customHeight="false" outlineLevel="0" collapsed="false">
      <c r="A54" s="11"/>
      <c r="B54" s="12" t="s">
        <v>20</v>
      </c>
      <c r="C54" s="12" t="s">
        <v>21</v>
      </c>
      <c r="D54" s="13" t="n">
        <f aca="false">ROUND('Recurring Budgets'!F51*60,0)/1440</f>
        <v>0.0138888888888889</v>
      </c>
      <c r="E54" s="14" t="n">
        <f aca="false">ROUND('Recurring Budgets'!F51*IF(H54="CFO",Assumptions!$B$5,Assumptions!$B$4),0)</f>
        <v>32</v>
      </c>
      <c r="F54" s="13" t="n">
        <f aca="false">ROUND('Recurring Budgets'!G51*60,0)/1440</f>
        <v>0</v>
      </c>
      <c r="G54" s="14" t="n">
        <f aca="false">ROUND('Recurring Budgets'!G51*Assumptions!$B$5,0)</f>
        <v>0</v>
      </c>
      <c r="H54" s="15" t="str">
        <f aca="false">'Recurring Budgets'!L51</f>
        <v>Staff</v>
      </c>
    </row>
    <row r="55" customFormat="false" ht="15" hidden="false" customHeight="false" outlineLevel="0" collapsed="false">
      <c r="A55" s="11"/>
      <c r="B55" s="12" t="s">
        <v>17</v>
      </c>
      <c r="C55" s="12" t="s">
        <v>13</v>
      </c>
      <c r="D55" s="13" t="n">
        <f aca="false">ROUND('Recurring Budgets'!F52*60,0)/1440</f>
        <v>0.774305555555556</v>
      </c>
      <c r="E55" s="14" t="n">
        <f aca="false">ROUND('Recurring Budgets'!F52*IF(H55="CFO",Assumptions!$B$5,Assumptions!$B$4),0)</f>
        <v>1765</v>
      </c>
      <c r="F55" s="13" t="n">
        <f aca="false">ROUND('Recurring Budgets'!G52*60,0)/1440</f>
        <v>0.0625</v>
      </c>
      <c r="G55" s="14" t="n">
        <f aca="false">ROUND('Recurring Budgets'!G52*Assumptions!$B$5,0)</f>
        <v>375</v>
      </c>
      <c r="H55" s="15" t="str">
        <f aca="false">'Recurring Budgets'!L52</f>
        <v>Staff</v>
      </c>
    </row>
    <row r="56" customFormat="false" ht="15" hidden="false" customHeight="false" outlineLevel="0" collapsed="false">
      <c r="A56" s="16" t="s">
        <v>47</v>
      </c>
      <c r="B56" s="17" t="s">
        <v>12</v>
      </c>
      <c r="C56" s="17" t="s">
        <v>13</v>
      </c>
      <c r="D56" s="18" t="n">
        <f aca="false">ROUND('Recurring Budgets'!F62*60,0)/1440</f>
        <v>0.0159722222222222</v>
      </c>
      <c r="E56" s="19" t="n">
        <f aca="false">ROUND('Recurring Budgets'!F62*IF(H56="CFO",Assumptions!$B$5,Assumptions!$B$4),0)</f>
        <v>36</v>
      </c>
      <c r="F56" s="18" t="n">
        <f aca="false">ROUND('Recurring Budgets'!G62*60,0)/1440</f>
        <v>0</v>
      </c>
      <c r="G56" s="19" t="n">
        <f aca="false">ROUND('Recurring Budgets'!G62*Assumptions!$B$5,0)</f>
        <v>0</v>
      </c>
      <c r="H56" s="20" t="str">
        <f aca="false">'Recurring Budgets'!L62</f>
        <v>Staff</v>
      </c>
    </row>
    <row r="57" customFormat="false" ht="15" hidden="false" customHeight="false" outlineLevel="0" collapsed="false">
      <c r="A57" s="21"/>
      <c r="B57" s="22" t="s">
        <v>14</v>
      </c>
      <c r="C57" s="22" t="s">
        <v>15</v>
      </c>
      <c r="D57" s="23" t="n">
        <f aca="false">ROUND('Recurring Budgets'!F63*60,0)/1440</f>
        <v>0.0208333333333333</v>
      </c>
      <c r="E57" s="24" t="n">
        <f aca="false">ROUND('Recurring Budgets'!F63*IF(H57="CFO",Assumptions!$B$5,Assumptions!$B$4),0)</f>
        <v>48</v>
      </c>
      <c r="F57" s="23" t="n">
        <f aca="false">ROUND('Recurring Budgets'!G63*60,0)/1440</f>
        <v>0.0159722222222222</v>
      </c>
      <c r="G57" s="24" t="n">
        <f aca="false">ROUND('Recurring Budgets'!G63*Assumptions!$B$5,0)</f>
        <v>96</v>
      </c>
      <c r="H57" s="25" t="str">
        <f aca="false">'Recurring Budgets'!L63</f>
        <v>Staff</v>
      </c>
    </row>
    <row r="58" customFormat="false" ht="15" hidden="false" customHeight="false" outlineLevel="0" collapsed="false">
      <c r="A58" s="6" t="s">
        <v>48</v>
      </c>
      <c r="B58" s="7" t="s">
        <v>12</v>
      </c>
      <c r="C58" s="7" t="s">
        <v>13</v>
      </c>
      <c r="D58" s="8" t="n">
        <f aca="false">ROUND('Recurring Budgets'!F64*60,0)/1440</f>
        <v>0.0159722222222222</v>
      </c>
      <c r="E58" s="9" t="n">
        <f aca="false">ROUND('Recurring Budgets'!F64*IF(H58="CFO",Assumptions!$B$5,Assumptions!$B$4),0)</f>
        <v>36</v>
      </c>
      <c r="F58" s="8" t="n">
        <f aca="false">ROUND('Recurring Budgets'!G64*60,0)/1440</f>
        <v>0</v>
      </c>
      <c r="G58" s="9" t="n">
        <f aca="false">ROUND('Recurring Budgets'!G64*Assumptions!$B$5,0)</f>
        <v>0</v>
      </c>
      <c r="H58" s="10" t="str">
        <f aca="false">'Recurring Budgets'!L64</f>
        <v>Staff</v>
      </c>
    </row>
    <row r="59" customFormat="false" ht="15" hidden="false" customHeight="false" outlineLevel="0" collapsed="false">
      <c r="A59" s="11"/>
      <c r="B59" s="12" t="s">
        <v>14</v>
      </c>
      <c r="C59" s="12" t="s">
        <v>15</v>
      </c>
      <c r="D59" s="13" t="n">
        <f aca="false">ROUND('Recurring Budgets'!F65*60,0)/1440</f>
        <v>0.0694444444444445</v>
      </c>
      <c r="E59" s="14" t="n">
        <f aca="false">ROUND('Recurring Budgets'!F65*IF(H59="CFO",Assumptions!$B$5,Assumptions!$B$4),0)</f>
        <v>158</v>
      </c>
      <c r="F59" s="13" t="n">
        <f aca="false">ROUND('Recurring Budgets'!G65*60,0)/1440</f>
        <v>0.0159722222222222</v>
      </c>
      <c r="G59" s="14" t="n">
        <f aca="false">ROUND('Recurring Budgets'!G65*Assumptions!$B$5,0)</f>
        <v>96</v>
      </c>
      <c r="H59" s="15" t="str">
        <f aca="false">'Recurring Budgets'!L65</f>
        <v>Staff</v>
      </c>
    </row>
    <row r="60" customFormat="false" ht="15" hidden="false" customHeight="false" outlineLevel="0" collapsed="false">
      <c r="A60" s="11"/>
      <c r="B60" s="12" t="s">
        <v>49</v>
      </c>
      <c r="C60" s="12" t="s">
        <v>15</v>
      </c>
      <c r="D60" s="13" t="n">
        <f aca="false">ROUND('Recurring Budgets'!F66*60,0)/1440</f>
        <v>0.0381944444444445</v>
      </c>
      <c r="E60" s="14" t="n">
        <f aca="false">ROUND('Recurring Budgets'!F66*IF(H60="CFO",Assumptions!$B$5,Assumptions!$B$4),0)</f>
        <v>87</v>
      </c>
      <c r="F60" s="13" t="n">
        <f aca="false">ROUND('Recurring Budgets'!G66*60,0)/1440</f>
        <v>0</v>
      </c>
      <c r="G60" s="14" t="n">
        <f aca="false">ROUND('Recurring Budgets'!G66*Assumptions!$B$5,0)</f>
        <v>0</v>
      </c>
      <c r="H60" s="15" t="str">
        <f aca="false">'Recurring Budgets'!L66</f>
        <v>Staff</v>
      </c>
    </row>
    <row r="61" customFormat="false" ht="15" hidden="false" customHeight="false" outlineLevel="0" collapsed="false">
      <c r="A61" s="16" t="s">
        <v>50</v>
      </c>
      <c r="B61" s="17" t="s">
        <v>12</v>
      </c>
      <c r="C61" s="17" t="s">
        <v>13</v>
      </c>
      <c r="D61" s="18" t="n">
        <f aca="false">ROUND('Recurring Budgets'!F67*60,0)/1440</f>
        <v>0.0833333333333333</v>
      </c>
      <c r="E61" s="19" t="n">
        <f aca="false">ROUND('Recurring Budgets'!F67*IF(H61="CFO",Assumptions!$B$5,Assumptions!$B$4),0)</f>
        <v>190</v>
      </c>
      <c r="F61" s="18" t="n">
        <f aca="false">ROUND('Recurring Budgets'!G67*60,0)/1440</f>
        <v>0</v>
      </c>
      <c r="G61" s="19" t="n">
        <f aca="false">ROUND('Recurring Budgets'!G67*Assumptions!$B$5,0)</f>
        <v>0</v>
      </c>
      <c r="H61" s="20" t="str">
        <f aca="false">'Recurring Budgets'!L67</f>
        <v>Staff</v>
      </c>
    </row>
    <row r="62" customFormat="false" ht="15" hidden="false" customHeight="false" outlineLevel="0" collapsed="false">
      <c r="A62" s="21"/>
      <c r="B62" s="22" t="s">
        <v>14</v>
      </c>
      <c r="C62" s="22" t="s">
        <v>15</v>
      </c>
      <c r="D62" s="23" t="n">
        <f aca="false">ROUND('Recurring Budgets'!F68*60,0)/1440</f>
        <v>1.47222222222222</v>
      </c>
      <c r="E62" s="24" t="n">
        <f aca="false">ROUND('Recurring Budgets'!F68*IF(H62="CFO",Assumptions!$B$5,Assumptions!$B$4),0)</f>
        <v>3357</v>
      </c>
      <c r="F62" s="23" t="n">
        <f aca="false">ROUND('Recurring Budgets'!G68*60,0)/1440</f>
        <v>0.0625</v>
      </c>
      <c r="G62" s="24" t="n">
        <f aca="false">ROUND('Recurring Budgets'!G68*Assumptions!$B$5,0)</f>
        <v>375</v>
      </c>
      <c r="H62" s="25" t="str">
        <f aca="false">'Recurring Budgets'!L68</f>
        <v>Staff</v>
      </c>
    </row>
    <row r="63" customFormat="false" ht="15" hidden="false" customHeight="false" outlineLevel="0" collapsed="false">
      <c r="A63" s="21"/>
      <c r="B63" s="22" t="s">
        <v>51</v>
      </c>
      <c r="C63" s="22" t="s">
        <v>30</v>
      </c>
      <c r="D63" s="23" t="n">
        <f aca="false">ROUND('Recurring Budgets'!F69*60,0)/1440</f>
        <v>0.09375</v>
      </c>
      <c r="E63" s="24" t="n">
        <f aca="false">ROUND('Recurring Budgets'!F69*IF(H63="CFO",Assumptions!$B$5,Assumptions!$B$4),0)</f>
        <v>214</v>
      </c>
      <c r="F63" s="23" t="n">
        <f aca="false">ROUND('Recurring Budgets'!G69*60,0)/1440</f>
        <v>0</v>
      </c>
      <c r="G63" s="24" t="n">
        <f aca="false">ROUND('Recurring Budgets'!G69*Assumptions!$B$5,0)</f>
        <v>0</v>
      </c>
      <c r="H63" s="25" t="str">
        <f aca="false">'Recurring Budgets'!L69</f>
        <v>Staff</v>
      </c>
    </row>
    <row r="64" customFormat="false" ht="15" hidden="false" customHeight="false" outlineLevel="0" collapsed="false">
      <c r="A64" s="6" t="s">
        <v>52</v>
      </c>
      <c r="B64" s="7" t="s">
        <v>12</v>
      </c>
      <c r="C64" s="7" t="s">
        <v>13</v>
      </c>
      <c r="D64" s="8" t="n">
        <f aca="false">ROUND('Recurring Budgets'!F70*60,0)/1440</f>
        <v>0.03125</v>
      </c>
      <c r="E64" s="9" t="n">
        <f aca="false">ROUND('Recurring Budgets'!F70*IF(H64="CFO",Assumptions!$B$5,Assumptions!$B$4),0)</f>
        <v>71</v>
      </c>
      <c r="F64" s="8" t="n">
        <f aca="false">ROUND('Recurring Budgets'!G70*60,0)/1440</f>
        <v>0</v>
      </c>
      <c r="G64" s="9" t="n">
        <f aca="false">ROUND('Recurring Budgets'!G70*Assumptions!$B$5,0)</f>
        <v>0</v>
      </c>
      <c r="H64" s="10" t="str">
        <f aca="false">'Recurring Budgets'!L70</f>
        <v>Staff</v>
      </c>
    </row>
    <row r="65" customFormat="false" ht="15" hidden="false" customHeight="false" outlineLevel="0" collapsed="false">
      <c r="A65" s="11"/>
      <c r="B65" s="12" t="s">
        <v>14</v>
      </c>
      <c r="C65" s="12" t="s">
        <v>15</v>
      </c>
      <c r="D65" s="13" t="n">
        <f aca="false">ROUND('Recurring Budgets'!F71*60,0)/1440</f>
        <v>0.135416666666667</v>
      </c>
      <c r="E65" s="14" t="n">
        <f aca="false">ROUND('Recurring Budgets'!F71*IF(H65="CFO",Assumptions!$B$5,Assumptions!$B$4),0)</f>
        <v>309</v>
      </c>
      <c r="F65" s="13" t="n">
        <f aca="false">ROUND('Recurring Budgets'!G71*60,0)/1440</f>
        <v>0.0291666666666667</v>
      </c>
      <c r="G65" s="14" t="n">
        <f aca="false">ROUND('Recurring Budgets'!G71*Assumptions!$B$5,0)</f>
        <v>175</v>
      </c>
      <c r="H65" s="15" t="str">
        <f aca="false">'Recurring Budgets'!L71</f>
        <v>Staff</v>
      </c>
    </row>
    <row r="66" customFormat="false" ht="15" hidden="false" customHeight="false" outlineLevel="0" collapsed="false">
      <c r="A66" s="16" t="s">
        <v>53</v>
      </c>
      <c r="B66" s="17" t="s">
        <v>12</v>
      </c>
      <c r="C66" s="17" t="s">
        <v>13</v>
      </c>
      <c r="D66" s="18" t="n">
        <f aca="false">ROUND('Recurring Budgets'!F72*60,0)/1440</f>
        <v>0.0833333333333333</v>
      </c>
      <c r="E66" s="19" t="n">
        <f aca="false">ROUND('Recurring Budgets'!F72*IF(H66="CFO",Assumptions!$B$5,Assumptions!$B$4),0)</f>
        <v>190</v>
      </c>
      <c r="F66" s="18" t="n">
        <f aca="false">ROUND('Recurring Budgets'!G72*60,0)/1440</f>
        <v>0</v>
      </c>
      <c r="G66" s="19" t="n">
        <f aca="false">ROUND('Recurring Budgets'!G72*Assumptions!$B$5,0)</f>
        <v>0</v>
      </c>
      <c r="H66" s="20" t="str">
        <f aca="false">'Recurring Budgets'!L72</f>
        <v>Staff</v>
      </c>
    </row>
    <row r="67" customFormat="false" ht="15" hidden="false" customHeight="false" outlineLevel="0" collapsed="false">
      <c r="A67" s="21"/>
      <c r="B67" s="22" t="s">
        <v>14</v>
      </c>
      <c r="C67" s="22" t="s">
        <v>15</v>
      </c>
      <c r="D67" s="23" t="n">
        <f aca="false">ROUND('Recurring Budgets'!F73*60,0)/1440</f>
        <v>0.0729166666666667</v>
      </c>
      <c r="E67" s="24" t="n">
        <f aca="false">ROUND('Recurring Budgets'!F73*IF(H67="CFO",Assumptions!$B$5,Assumptions!$B$4),0)</f>
        <v>166</v>
      </c>
      <c r="F67" s="23" t="n">
        <f aca="false">ROUND('Recurring Budgets'!G73*60,0)/1440</f>
        <v>0.0291666666666667</v>
      </c>
      <c r="G67" s="24" t="n">
        <f aca="false">ROUND('Recurring Budgets'!G73*Assumptions!$B$5,0)</f>
        <v>175</v>
      </c>
      <c r="H67" s="25" t="str">
        <f aca="false">'Recurring Budgets'!L73</f>
        <v>Staff</v>
      </c>
    </row>
    <row r="68" customFormat="false" ht="15" hidden="false" customHeight="false" outlineLevel="0" collapsed="false">
      <c r="A68" s="6" t="s">
        <v>54</v>
      </c>
      <c r="B68" s="7" t="s">
        <v>12</v>
      </c>
      <c r="C68" s="7" t="s">
        <v>13</v>
      </c>
      <c r="D68" s="8" t="n">
        <f aca="false">ROUND('Recurring Budgets'!F74*60,0)/1440</f>
        <v>0.0833333333333333</v>
      </c>
      <c r="E68" s="9" t="n">
        <f aca="false">ROUND('Recurring Budgets'!F74*IF(H68="CFO",Assumptions!$B$5,Assumptions!$B$4),0)</f>
        <v>190</v>
      </c>
      <c r="F68" s="8" t="n">
        <f aca="false">ROUND('Recurring Budgets'!G74*60,0)/1440</f>
        <v>0</v>
      </c>
      <c r="G68" s="9" t="n">
        <f aca="false">ROUND('Recurring Budgets'!G74*Assumptions!$B$5,0)</f>
        <v>0</v>
      </c>
      <c r="H68" s="10" t="str">
        <f aca="false">'Recurring Budgets'!L74</f>
        <v>Staff</v>
      </c>
    </row>
    <row r="69" customFormat="false" ht="15" hidden="false" customHeight="false" outlineLevel="0" collapsed="false">
      <c r="A69" s="11"/>
      <c r="B69" s="12" t="s">
        <v>55</v>
      </c>
      <c r="C69" s="12" t="s">
        <v>56</v>
      </c>
      <c r="D69" s="13" t="n">
        <f aca="false">ROUND('Recurring Budgets'!F75*60,0)/1440</f>
        <v>0.0138888888888889</v>
      </c>
      <c r="E69" s="14" t="n">
        <f aca="false">ROUND('Recurring Budgets'!F75*IF(H69="CFO",Assumptions!$B$5,Assumptions!$B$4),0)</f>
        <v>32</v>
      </c>
      <c r="F69" s="13" t="n">
        <f aca="false">ROUND('Recurring Budgets'!G75*60,0)/1440</f>
        <v>0.00694444444444444</v>
      </c>
      <c r="G69" s="14" t="n">
        <f aca="false">ROUND('Recurring Budgets'!G75*Assumptions!$B$5,0)</f>
        <v>42</v>
      </c>
      <c r="H69" s="15" t="str">
        <f aca="false">'Recurring Budgets'!L75</f>
        <v>Staff</v>
      </c>
    </row>
    <row r="70" customFormat="false" ht="15" hidden="false" customHeight="false" outlineLevel="0" collapsed="false">
      <c r="A70" s="11"/>
      <c r="B70" s="12" t="s">
        <v>57</v>
      </c>
      <c r="C70" s="12" t="s">
        <v>56</v>
      </c>
      <c r="D70" s="13" t="n">
        <f aca="false">ROUND('Recurring Budgets'!F76*60,0)/1440</f>
        <v>0.0381944444444445</v>
      </c>
      <c r="E70" s="14" t="n">
        <f aca="false">ROUND('Recurring Budgets'!F76*IF(H70="CFO",Assumptions!$B$5,Assumptions!$B$4),0)</f>
        <v>87</v>
      </c>
      <c r="F70" s="13" t="n">
        <f aca="false">ROUND('Recurring Budgets'!G76*60,0)/1440</f>
        <v>0.0104166666666667</v>
      </c>
      <c r="G70" s="14" t="n">
        <f aca="false">ROUND('Recurring Budgets'!G76*Assumptions!$B$5,0)</f>
        <v>63</v>
      </c>
      <c r="H70" s="15" t="str">
        <f aca="false">'Recurring Budgets'!L76</f>
        <v>Staff</v>
      </c>
    </row>
    <row r="71" customFormat="false" ht="15" hidden="false" customHeight="false" outlineLevel="0" collapsed="false">
      <c r="A71" s="11"/>
      <c r="B71" s="12" t="s">
        <v>14</v>
      </c>
      <c r="C71" s="12" t="s">
        <v>15</v>
      </c>
      <c r="D71" s="13" t="n">
        <f aca="false">ROUND('Recurring Budgets'!F77*60,0)/1440</f>
        <v>0.194444444444444</v>
      </c>
      <c r="E71" s="14" t="n">
        <f aca="false">ROUND('Recurring Budgets'!F77*IF(H71="CFO",Assumptions!$B$5,Assumptions!$B$4),0)</f>
        <v>443</v>
      </c>
      <c r="F71" s="13" t="n">
        <f aca="false">ROUND('Recurring Budgets'!G77*60,0)/1440</f>
        <v>0.0347222222222222</v>
      </c>
      <c r="G71" s="14" t="n">
        <f aca="false">ROUND('Recurring Budgets'!G77*Assumptions!$B$5,0)</f>
        <v>208</v>
      </c>
      <c r="H71" s="15" t="str">
        <f aca="false">'Recurring Budgets'!L77</f>
        <v>Staff</v>
      </c>
    </row>
    <row r="72" customFormat="false" ht="15" hidden="false" customHeight="false" outlineLevel="0" collapsed="false">
      <c r="A72" s="16" t="s">
        <v>58</v>
      </c>
      <c r="B72" s="17" t="s">
        <v>12</v>
      </c>
      <c r="C72" s="17" t="s">
        <v>13</v>
      </c>
      <c r="D72" s="18" t="n">
        <f aca="false">ROUND('Recurring Budgets'!F78*60,0)/1440</f>
        <v>0.03125</v>
      </c>
      <c r="E72" s="19" t="n">
        <f aca="false">ROUND('Recurring Budgets'!F78*IF(H72="CFO",Assumptions!$B$5,Assumptions!$B$4),0)</f>
        <v>71</v>
      </c>
      <c r="F72" s="18" t="n">
        <f aca="false">ROUND('Recurring Budgets'!G78*60,0)/1440</f>
        <v>0</v>
      </c>
      <c r="G72" s="19" t="n">
        <f aca="false">ROUND('Recurring Budgets'!G78*Assumptions!$B$5,0)</f>
        <v>0</v>
      </c>
      <c r="H72" s="20" t="str">
        <f aca="false">'Recurring Budgets'!L78</f>
        <v>Staff</v>
      </c>
    </row>
    <row r="73" customFormat="false" ht="15" hidden="false" customHeight="false" outlineLevel="0" collapsed="false">
      <c r="A73" s="21"/>
      <c r="B73" s="22" t="s">
        <v>59</v>
      </c>
      <c r="C73" s="22" t="s">
        <v>13</v>
      </c>
      <c r="D73" s="23" t="n">
        <f aca="false">ROUND('Recurring Budgets'!F79*60,0)/1440</f>
        <v>0.0590277777777778</v>
      </c>
      <c r="E73" s="24" t="n">
        <f aca="false">ROUND('Recurring Budgets'!F79*IF(H73="CFO",Assumptions!$B$5,Assumptions!$B$4),0)</f>
        <v>135</v>
      </c>
      <c r="F73" s="23" t="n">
        <f aca="false">ROUND('Recurring Budgets'!G79*60,0)/1440</f>
        <v>0.0291666666666667</v>
      </c>
      <c r="G73" s="24" t="n">
        <f aca="false">ROUND('Recurring Budgets'!G79*Assumptions!$B$5,0)</f>
        <v>175</v>
      </c>
      <c r="H73" s="25" t="str">
        <f aca="false">'Recurring Budgets'!L79</f>
        <v>Staff</v>
      </c>
    </row>
    <row r="74" customFormat="false" ht="15" hidden="false" customHeight="false" outlineLevel="0" collapsed="false">
      <c r="A74" s="21"/>
      <c r="B74" s="22" t="s">
        <v>60</v>
      </c>
      <c r="C74" s="22" t="s">
        <v>13</v>
      </c>
      <c r="D74" s="23" t="n">
        <f aca="false">ROUND('Recurring Budgets'!F80*60,0)/1440</f>
        <v>0.0208333333333333</v>
      </c>
      <c r="E74" s="24" t="n">
        <f aca="false">ROUND('Recurring Budgets'!F80*IF(H74="CFO",Assumptions!$B$5,Assumptions!$B$4),0)</f>
        <v>48</v>
      </c>
      <c r="F74" s="23" t="n">
        <f aca="false">ROUND('Recurring Budgets'!G80*60,0)/1440</f>
        <v>0</v>
      </c>
      <c r="G74" s="24" t="n">
        <f aca="false">ROUND('Recurring Budgets'!G80*Assumptions!$B$5,0)</f>
        <v>0</v>
      </c>
      <c r="H74" s="25" t="str">
        <f aca="false">'Recurring Budgets'!L80</f>
        <v>Staff</v>
      </c>
    </row>
    <row r="75" customFormat="false" ht="15" hidden="false" customHeight="false" outlineLevel="0" collapsed="false">
      <c r="A75" s="6" t="s">
        <v>61</v>
      </c>
      <c r="B75" s="7" t="s">
        <v>12</v>
      </c>
      <c r="C75" s="7" t="s">
        <v>13</v>
      </c>
      <c r="D75" s="8" t="n">
        <f aca="false">ROUND('Recurring Budgets'!F81*60,0)/1440</f>
        <v>0.0833333333333333</v>
      </c>
      <c r="E75" s="9" t="n">
        <f aca="false">ROUND('Recurring Budgets'!F81*IF(H75="CFO",Assumptions!$B$5,Assumptions!$B$4),0)</f>
        <v>190</v>
      </c>
      <c r="F75" s="8" t="n">
        <f aca="false">ROUND('Recurring Budgets'!G81*60,0)/1440</f>
        <v>0</v>
      </c>
      <c r="G75" s="9" t="n">
        <f aca="false">ROUND('Recurring Budgets'!G81*Assumptions!$B$5,0)</f>
        <v>0</v>
      </c>
      <c r="H75" s="10" t="str">
        <f aca="false">'Recurring Budgets'!L81</f>
        <v>Staff</v>
      </c>
    </row>
    <row r="76" customFormat="false" ht="15" hidden="false" customHeight="false" outlineLevel="0" collapsed="false">
      <c r="A76" s="11"/>
      <c r="B76" s="12" t="s">
        <v>28</v>
      </c>
      <c r="C76" s="12" t="s">
        <v>21</v>
      </c>
      <c r="D76" s="13" t="n">
        <f aca="false">ROUND('Recurring Budgets'!F82*60,0)/1440</f>
        <v>0.0243055555555556</v>
      </c>
      <c r="E76" s="14" t="n">
        <f aca="false">ROUND('Recurring Budgets'!F82*IF(H76="CFO",Assumptions!$B$5,Assumptions!$B$4),0)</f>
        <v>55</v>
      </c>
      <c r="F76" s="13" t="n">
        <f aca="false">ROUND('Recurring Budgets'!G82*60,0)/1440</f>
        <v>0</v>
      </c>
      <c r="G76" s="14" t="n">
        <f aca="false">ROUND('Recurring Budgets'!G82*Assumptions!$B$5,0)</f>
        <v>0</v>
      </c>
      <c r="H76" s="15" t="str">
        <f aca="false">'Recurring Budgets'!L82</f>
        <v>Staff</v>
      </c>
    </row>
    <row r="77" customFormat="false" ht="15" hidden="false" customHeight="false" outlineLevel="0" collapsed="false">
      <c r="A77" s="11"/>
      <c r="B77" s="12" t="s">
        <v>14</v>
      </c>
      <c r="C77" s="12" t="s">
        <v>15</v>
      </c>
      <c r="D77" s="13" t="n">
        <f aca="false">ROUND('Recurring Budgets'!F83*60,0)/1440</f>
        <v>0.239583333333333</v>
      </c>
      <c r="E77" s="14" t="n">
        <f aca="false">ROUND('Recurring Budgets'!F83*IF(H77="CFO",Assumptions!$B$5,Assumptions!$B$4),0)</f>
        <v>546</v>
      </c>
      <c r="F77" s="13" t="n">
        <f aca="false">ROUND('Recurring Budgets'!G83*60,0)/1440</f>
        <v>0.0291666666666667</v>
      </c>
      <c r="G77" s="14" t="n">
        <f aca="false">ROUND('Recurring Budgets'!G83*Assumptions!$B$5,0)</f>
        <v>175</v>
      </c>
      <c r="H77" s="15" t="str">
        <f aca="false">'Recurring Budgets'!L83</f>
        <v>Staff</v>
      </c>
    </row>
    <row r="78" customFormat="false" ht="15" hidden="false" customHeight="false" outlineLevel="0" collapsed="false">
      <c r="A78" s="11"/>
      <c r="B78" s="12" t="s">
        <v>62</v>
      </c>
      <c r="C78" s="12" t="s">
        <v>15</v>
      </c>
      <c r="D78" s="13" t="n">
        <f aca="false">ROUND('Recurring Budgets'!F84*60,0)/1440</f>
        <v>0.0208333333333333</v>
      </c>
      <c r="E78" s="14" t="n">
        <f aca="false">ROUND('Recurring Budgets'!F84*IF(H78="CFO",Assumptions!$B$5,Assumptions!$B$4),0)</f>
        <v>48</v>
      </c>
      <c r="F78" s="13" t="n">
        <f aca="false">ROUND('Recurring Budgets'!G84*60,0)/1440</f>
        <v>0</v>
      </c>
      <c r="G78" s="14" t="n">
        <f aca="false">ROUND('Recurring Budgets'!G84*Assumptions!$B$5,0)</f>
        <v>0</v>
      </c>
      <c r="H78" s="15" t="str">
        <f aca="false">'Recurring Budgets'!L84</f>
        <v>Staff</v>
      </c>
    </row>
    <row r="79" customFormat="false" ht="15" hidden="false" customHeight="false" outlineLevel="0" collapsed="false">
      <c r="A79" s="16" t="s">
        <v>63</v>
      </c>
      <c r="B79" s="17" t="s">
        <v>28</v>
      </c>
      <c r="C79" s="17" t="s">
        <v>21</v>
      </c>
      <c r="D79" s="18" t="n">
        <f aca="false">ROUND('Recurring Budgets'!F85*60,0)/1440</f>
        <v>0.00694444444444444</v>
      </c>
      <c r="E79" s="19" t="n">
        <f aca="false">ROUND('Recurring Budgets'!F85*IF(H79="CFO",Assumptions!$B$5,Assumptions!$B$4),0)</f>
        <v>16</v>
      </c>
      <c r="F79" s="18" t="n">
        <f aca="false">ROUND('Recurring Budgets'!G85*60,0)/1440</f>
        <v>0</v>
      </c>
      <c r="G79" s="19" t="n">
        <f aca="false">ROUND('Recurring Budgets'!G85*Assumptions!$B$5,0)</f>
        <v>0</v>
      </c>
      <c r="H79" s="20" t="str">
        <f aca="false">'Recurring Budgets'!L85</f>
        <v>Staff</v>
      </c>
    </row>
    <row r="80" customFormat="false" ht="15" hidden="false" customHeight="false" outlineLevel="0" collapsed="false">
      <c r="A80" s="21"/>
      <c r="B80" s="22" t="s">
        <v>17</v>
      </c>
      <c r="C80" s="22" t="s">
        <v>13</v>
      </c>
      <c r="D80" s="23" t="n">
        <f aca="false">ROUND('Recurring Budgets'!F86*60,0)/1440</f>
        <v>0.0416666666666667</v>
      </c>
      <c r="E80" s="24" t="n">
        <f aca="false">ROUND('Recurring Budgets'!F86*IF(H80="CFO",Assumptions!$B$5,Assumptions!$B$4),0)</f>
        <v>95</v>
      </c>
      <c r="F80" s="23" t="n">
        <f aca="false">ROUND('Recurring Budgets'!G86*60,0)/1440</f>
        <v>0.0416666666666667</v>
      </c>
      <c r="G80" s="24" t="n">
        <f aca="false">ROUND('Recurring Budgets'!G86*Assumptions!$B$5,0)</f>
        <v>250</v>
      </c>
      <c r="H80" s="25" t="str">
        <f aca="false">'Recurring Budgets'!L86</f>
        <v>Staff</v>
      </c>
    </row>
    <row r="81" customFormat="false" ht="15" hidden="false" customHeight="false" outlineLevel="0" collapsed="false">
      <c r="A81" s="6" t="s">
        <v>64</v>
      </c>
      <c r="B81" s="7" t="s">
        <v>65</v>
      </c>
      <c r="C81" s="7" t="s">
        <v>66</v>
      </c>
      <c r="D81" s="8" t="n">
        <f aca="false">ROUND('Recurring Budgets'!F87*60,0)/1440</f>
        <v>0.00347222222222222</v>
      </c>
      <c r="E81" s="9" t="n">
        <f aca="false">ROUND('Recurring Budgets'!F87*IF(H81="CFO",Assumptions!$B$5,Assumptions!$B$4),0)</f>
        <v>8</v>
      </c>
      <c r="F81" s="8" t="n">
        <f aca="false">ROUND('Recurring Budgets'!G87*60,0)/1440</f>
        <v>0</v>
      </c>
      <c r="G81" s="9" t="n">
        <f aca="false">ROUND('Recurring Budgets'!G87*Assumptions!$B$5,0)</f>
        <v>0</v>
      </c>
      <c r="H81" s="10" t="str">
        <f aca="false">'Recurring Budgets'!L87</f>
        <v>Staff</v>
      </c>
    </row>
    <row r="82" customFormat="false" ht="15" hidden="false" customHeight="false" outlineLevel="0" collapsed="false">
      <c r="A82" s="11"/>
      <c r="B82" s="12" t="s">
        <v>29</v>
      </c>
      <c r="C82" s="12" t="s">
        <v>30</v>
      </c>
      <c r="D82" s="13" t="n">
        <f aca="false">ROUND('Recurring Budgets'!F88*60,0)/1440</f>
        <v>0.00694444444444444</v>
      </c>
      <c r="E82" s="14" t="n">
        <f aca="false">ROUND('Recurring Budgets'!F88*IF(H82="CFO",Assumptions!$B$5,Assumptions!$B$4),0)</f>
        <v>16</v>
      </c>
      <c r="F82" s="13" t="n">
        <f aca="false">ROUND('Recurring Budgets'!G88*60,0)/1440</f>
        <v>0</v>
      </c>
      <c r="G82" s="14" t="n">
        <f aca="false">ROUND('Recurring Budgets'!G88*Assumptions!$B$5,0)</f>
        <v>0</v>
      </c>
      <c r="H82" s="15" t="str">
        <f aca="false">'Recurring Budgets'!L88</f>
        <v>Staff</v>
      </c>
    </row>
    <row r="83" customFormat="false" ht="15" hidden="false" customHeight="false" outlineLevel="0" collapsed="false">
      <c r="A83" s="11"/>
      <c r="B83" s="12" t="s">
        <v>67</v>
      </c>
      <c r="C83" s="12" t="s">
        <v>30</v>
      </c>
      <c r="D83" s="13" t="n">
        <f aca="false">ROUND('Recurring Budgets'!F89*60,0)/1440</f>
        <v>0.0486111111111111</v>
      </c>
      <c r="E83" s="14" t="n">
        <f aca="false">ROUND('Recurring Budgets'!F89*IF(H83="CFO",Assumptions!$B$5,Assumptions!$B$4),0)</f>
        <v>111</v>
      </c>
      <c r="F83" s="13" t="n">
        <f aca="false">ROUND('Recurring Budgets'!G89*60,0)/1440</f>
        <v>0</v>
      </c>
      <c r="G83" s="14" t="n">
        <f aca="false">ROUND('Recurring Budgets'!G89*Assumptions!$B$5,0)</f>
        <v>0</v>
      </c>
      <c r="H83" s="15" t="str">
        <f aca="false">'Recurring Budgets'!L89</f>
        <v>Staff</v>
      </c>
    </row>
    <row r="84" customFormat="false" ht="15" hidden="false" customHeight="false" outlineLevel="0" collapsed="false">
      <c r="A84" s="16" t="s">
        <v>68</v>
      </c>
      <c r="B84" s="17" t="s">
        <v>12</v>
      </c>
      <c r="C84" s="17" t="s">
        <v>13</v>
      </c>
      <c r="D84" s="18" t="n">
        <f aca="false">ROUND('Recurring Budgets'!F90*60,0)/1440</f>
        <v>0.0833333333333333</v>
      </c>
      <c r="E84" s="19" t="n">
        <f aca="false">ROUND('Recurring Budgets'!F90*IF(H84="CFO",Assumptions!$B$5,Assumptions!$B$4),0)</f>
        <v>190</v>
      </c>
      <c r="F84" s="18" t="n">
        <f aca="false">ROUND('Recurring Budgets'!G90*60,0)/1440</f>
        <v>0</v>
      </c>
      <c r="G84" s="19" t="n">
        <f aca="false">ROUND('Recurring Budgets'!G90*Assumptions!$B$5,0)</f>
        <v>0</v>
      </c>
      <c r="H84" s="20" t="str">
        <f aca="false">'Recurring Budgets'!L90</f>
        <v>Staff</v>
      </c>
    </row>
    <row r="85" customFormat="false" ht="15" hidden="false" customHeight="false" outlineLevel="0" collapsed="false">
      <c r="A85" s="21"/>
      <c r="B85" s="22" t="s">
        <v>14</v>
      </c>
      <c r="C85" s="22" t="s">
        <v>15</v>
      </c>
      <c r="D85" s="23" t="n">
        <f aca="false">ROUND('Recurring Budgets'!F91*60,0)/1440</f>
        <v>0.0763888888888889</v>
      </c>
      <c r="E85" s="24" t="n">
        <f aca="false">ROUND('Recurring Budgets'!F91*IF(H85="CFO",Assumptions!$B$5,Assumptions!$B$4),0)</f>
        <v>174</v>
      </c>
      <c r="F85" s="23" t="n">
        <f aca="false">ROUND('Recurring Budgets'!G91*60,0)/1440</f>
        <v>0.0416666666666667</v>
      </c>
      <c r="G85" s="24" t="n">
        <f aca="false">ROUND('Recurring Budgets'!G91*Assumptions!$B$5,0)</f>
        <v>250</v>
      </c>
      <c r="H85" s="25" t="str">
        <f aca="false">'Recurring Budgets'!L91</f>
        <v>Staff</v>
      </c>
    </row>
    <row r="86" customFormat="false" ht="15" hidden="false" customHeight="false" outlineLevel="0" collapsed="false">
      <c r="A86" s="6" t="s">
        <v>69</v>
      </c>
      <c r="B86" s="7" t="s">
        <v>12</v>
      </c>
      <c r="C86" s="7" t="s">
        <v>13</v>
      </c>
      <c r="D86" s="8" t="n">
        <f aca="false">ROUND('Recurring Budgets'!F92*60,0)/1440</f>
        <v>0.0159722222222222</v>
      </c>
      <c r="E86" s="9" t="n">
        <f aca="false">ROUND('Recurring Budgets'!F92*IF(H86="CFO",Assumptions!$B$5,Assumptions!$B$4),0)</f>
        <v>36</v>
      </c>
      <c r="F86" s="8" t="n">
        <f aca="false">ROUND('Recurring Budgets'!G92*60,0)/1440</f>
        <v>0</v>
      </c>
      <c r="G86" s="9" t="n">
        <f aca="false">ROUND('Recurring Budgets'!G92*Assumptions!$B$5,0)</f>
        <v>0</v>
      </c>
      <c r="H86" s="10" t="str">
        <f aca="false">'Recurring Budgets'!L92</f>
        <v>Staff</v>
      </c>
    </row>
    <row r="87" customFormat="false" ht="15" hidden="false" customHeight="false" outlineLevel="0" collapsed="false">
      <c r="A87" s="11"/>
      <c r="B87" s="12" t="s">
        <v>20</v>
      </c>
      <c r="C87" s="12" t="s">
        <v>21</v>
      </c>
      <c r="D87" s="13" t="n">
        <f aca="false">ROUND('Recurring Budgets'!F93*60,0)/1440</f>
        <v>0.0138888888888889</v>
      </c>
      <c r="E87" s="14" t="n">
        <f aca="false">ROUND('Recurring Budgets'!F93*IF(H87="CFO",Assumptions!$B$5,Assumptions!$B$4),0)</f>
        <v>32</v>
      </c>
      <c r="F87" s="13" t="n">
        <f aca="false">ROUND('Recurring Budgets'!G93*60,0)/1440</f>
        <v>0</v>
      </c>
      <c r="G87" s="14" t="n">
        <f aca="false">ROUND('Recurring Budgets'!G93*Assumptions!$B$5,0)</f>
        <v>0</v>
      </c>
      <c r="H87" s="15" t="str">
        <f aca="false">'Recurring Budgets'!L93</f>
        <v>Staff</v>
      </c>
    </row>
    <row r="88" customFormat="false" ht="15" hidden="false" customHeight="false" outlineLevel="0" collapsed="false">
      <c r="A88" s="11"/>
      <c r="B88" s="12" t="s">
        <v>14</v>
      </c>
      <c r="C88" s="12" t="s">
        <v>15</v>
      </c>
      <c r="D88" s="13" t="n">
        <f aca="false">ROUND('Recurring Budgets'!F94*60,0)/1440</f>
        <v>0.0416666666666667</v>
      </c>
      <c r="E88" s="14" t="n">
        <f aca="false">ROUND('Recurring Budgets'!F94*IF(H88="CFO",Assumptions!$B$5,Assumptions!$B$4),0)</f>
        <v>95</v>
      </c>
      <c r="F88" s="13" t="n">
        <f aca="false">ROUND('Recurring Budgets'!G94*60,0)/1440</f>
        <v>0.0208333333333333</v>
      </c>
      <c r="G88" s="14" t="n">
        <f aca="false">ROUND('Recurring Budgets'!G94*Assumptions!$B$5,0)</f>
        <v>125</v>
      </c>
      <c r="H88" s="15" t="str">
        <f aca="false">'Recurring Budgets'!L94</f>
        <v>Staff</v>
      </c>
    </row>
    <row r="89" customFormat="false" ht="15" hidden="false" customHeight="false" outlineLevel="0" collapsed="false">
      <c r="A89" s="11"/>
      <c r="B89" s="12" t="s">
        <v>49</v>
      </c>
      <c r="C89" s="12" t="s">
        <v>15</v>
      </c>
      <c r="D89" s="13" t="n">
        <f aca="false">ROUND('Recurring Budgets'!F95*60,0)/1440</f>
        <v>0.0104166666666667</v>
      </c>
      <c r="E89" s="14" t="n">
        <f aca="false">ROUND('Recurring Budgets'!F95*IF(H89="CFO",Assumptions!$B$5,Assumptions!$B$4),0)</f>
        <v>24</v>
      </c>
      <c r="F89" s="13" t="n">
        <f aca="false">ROUND('Recurring Budgets'!G95*60,0)/1440</f>
        <v>0</v>
      </c>
      <c r="G89" s="14" t="n">
        <f aca="false">ROUND('Recurring Budgets'!G95*Assumptions!$B$5,0)</f>
        <v>0</v>
      </c>
      <c r="H89" s="15" t="str">
        <f aca="false">'Recurring Budgets'!L95</f>
        <v>Staff</v>
      </c>
    </row>
    <row r="90" customFormat="false" ht="15" hidden="false" customHeight="false" outlineLevel="0" collapsed="false">
      <c r="A90" s="16" t="s">
        <v>70</v>
      </c>
      <c r="B90" s="17" t="s">
        <v>12</v>
      </c>
      <c r="C90" s="17" t="s">
        <v>13</v>
      </c>
      <c r="D90" s="18" t="n">
        <f aca="false">ROUND('Recurring Budgets'!F96*60,0)/1440</f>
        <v>0.03125</v>
      </c>
      <c r="E90" s="19" t="n">
        <f aca="false">ROUND('Recurring Budgets'!F96*IF(H90="CFO",Assumptions!$B$5,Assumptions!$B$4),0)</f>
        <v>71</v>
      </c>
      <c r="F90" s="18" t="n">
        <f aca="false">ROUND('Recurring Budgets'!G96*60,0)/1440</f>
        <v>0</v>
      </c>
      <c r="G90" s="19" t="n">
        <f aca="false">ROUND('Recurring Budgets'!G96*Assumptions!$B$5,0)</f>
        <v>0</v>
      </c>
      <c r="H90" s="20" t="str">
        <f aca="false">'Recurring Budgets'!L96</f>
        <v>Staff</v>
      </c>
    </row>
    <row r="91" customFormat="false" ht="15" hidden="false" customHeight="false" outlineLevel="0" collapsed="false">
      <c r="A91" s="21"/>
      <c r="B91" s="22" t="s">
        <v>28</v>
      </c>
      <c r="C91" s="22" t="s">
        <v>21</v>
      </c>
      <c r="D91" s="23" t="n">
        <f aca="false">ROUND('Recurring Budgets'!F97*60,0)/1440</f>
        <v>0.03125</v>
      </c>
      <c r="E91" s="24" t="n">
        <f aca="false">ROUND('Recurring Budgets'!F97*IF(H91="CFO",Assumptions!$B$5,Assumptions!$B$4),0)</f>
        <v>188</v>
      </c>
      <c r="F91" s="23" t="n">
        <f aca="false">ROUND('Recurring Budgets'!G97*60,0)/1440</f>
        <v>0</v>
      </c>
      <c r="G91" s="24" t="n">
        <f aca="false">ROUND('Recurring Budgets'!G97*Assumptions!$B$5,0)</f>
        <v>0</v>
      </c>
      <c r="H91" s="25" t="str">
        <f aca="false">'Recurring Budgets'!L97</f>
        <v>CFO</v>
      </c>
    </row>
    <row r="92" customFormat="false" ht="15" hidden="false" customHeight="false" outlineLevel="0" collapsed="false">
      <c r="A92" s="21"/>
      <c r="B92" s="22" t="s">
        <v>14</v>
      </c>
      <c r="C92" s="22" t="s">
        <v>15</v>
      </c>
      <c r="D92" s="23" t="n">
        <f aca="false">ROUND('Recurring Budgets'!F98*60,0)/1440</f>
        <v>0.291666666666667</v>
      </c>
      <c r="E92" s="24" t="n">
        <f aca="false">ROUND('Recurring Budgets'!F98*IF(H92="CFO",Assumptions!$B$5,Assumptions!$B$4),0)</f>
        <v>1750</v>
      </c>
      <c r="F92" s="23" t="n">
        <f aca="false">ROUND('Recurring Budgets'!G98*60,0)/1440</f>
        <v>0.0416666666666667</v>
      </c>
      <c r="G92" s="24" t="n">
        <f aca="false">ROUND('Recurring Budgets'!G98*Assumptions!$B$5,0)</f>
        <v>250</v>
      </c>
      <c r="H92" s="25" t="str">
        <f aca="false">'Recurring Budgets'!L98</f>
        <v>CFO</v>
      </c>
    </row>
    <row r="93" customFormat="false" ht="15" hidden="false" customHeight="false" outlineLevel="0" collapsed="false">
      <c r="A93" s="6" t="s">
        <v>71</v>
      </c>
      <c r="B93" s="7" t="s">
        <v>12</v>
      </c>
      <c r="C93" s="7" t="s">
        <v>13</v>
      </c>
      <c r="D93" s="8" t="n">
        <f aca="false">ROUND('Recurring Budgets'!F99*60,0)/1440</f>
        <v>0.0833333333333333</v>
      </c>
      <c r="E93" s="9" t="n">
        <f aca="false">ROUND('Recurring Budgets'!F99*IF(H93="CFO",Assumptions!$B$5,Assumptions!$B$4),0)</f>
        <v>190</v>
      </c>
      <c r="F93" s="8" t="n">
        <f aca="false">ROUND('Recurring Budgets'!G99*60,0)/1440</f>
        <v>0</v>
      </c>
      <c r="G93" s="9" t="n">
        <f aca="false">ROUND('Recurring Budgets'!G99*Assumptions!$B$5,0)</f>
        <v>0</v>
      </c>
      <c r="H93" s="10" t="str">
        <f aca="false">'Recurring Budgets'!L99</f>
        <v>Staff</v>
      </c>
    </row>
    <row r="94" customFormat="false" ht="15" hidden="false" customHeight="false" outlineLevel="0" collapsed="false">
      <c r="A94" s="11"/>
      <c r="B94" s="12" t="s">
        <v>14</v>
      </c>
      <c r="C94" s="12" t="s">
        <v>15</v>
      </c>
      <c r="D94" s="13" t="n">
        <f aca="false">ROUND('Recurring Budgets'!F100*60,0)/1440</f>
        <v>0.229166666666667</v>
      </c>
      <c r="E94" s="14" t="n">
        <f aca="false">ROUND('Recurring Budgets'!F100*IF(H94="CFO",Assumptions!$B$5,Assumptions!$B$4),0)</f>
        <v>523</v>
      </c>
      <c r="F94" s="13" t="n">
        <f aca="false">ROUND('Recurring Budgets'!G100*60,0)/1440</f>
        <v>0.0416666666666667</v>
      </c>
      <c r="G94" s="14" t="n">
        <f aca="false">ROUND('Recurring Budgets'!G100*Assumptions!$B$5,0)</f>
        <v>250</v>
      </c>
      <c r="H94" s="15" t="str">
        <f aca="false">'Recurring Budgets'!L100</f>
        <v>Staff</v>
      </c>
    </row>
    <row r="95" customFormat="false" ht="15" hidden="false" customHeight="false" outlineLevel="0" collapsed="false">
      <c r="A95" s="16" t="s">
        <v>72</v>
      </c>
      <c r="B95" s="17" t="s">
        <v>17</v>
      </c>
      <c r="C95" s="17" t="s">
        <v>13</v>
      </c>
      <c r="D95" s="18" t="n">
        <f aca="false">ROUND('Recurring Budgets'!F102*60,0)/1440</f>
        <v>0.0416666666666667</v>
      </c>
      <c r="E95" s="19" t="n">
        <f aca="false">ROUND('Recurring Budgets'!F102*IF(H95="CFO",Assumptions!$B$5,Assumptions!$B$4),0)</f>
        <v>250</v>
      </c>
      <c r="F95" s="18" t="n">
        <f aca="false">ROUND('Recurring Budgets'!G102*60,0)/1440</f>
        <v>0.0625</v>
      </c>
      <c r="G95" s="19" t="n">
        <f aca="false">ROUND('Recurring Budgets'!G102*Assumptions!$B$5,0)</f>
        <v>375</v>
      </c>
      <c r="H95" s="20" t="str">
        <f aca="false">'Recurring Budgets'!L102</f>
        <v>CFO</v>
      </c>
    </row>
    <row r="96" customFormat="false" ht="15" hidden="false" customHeight="false" outlineLevel="0" collapsed="false">
      <c r="A96" s="6" t="s">
        <v>73</v>
      </c>
      <c r="B96" s="7" t="s">
        <v>12</v>
      </c>
      <c r="C96" s="7" t="s">
        <v>13</v>
      </c>
      <c r="D96" s="8" t="n">
        <f aca="false">ROUND('Recurring Budgets'!F103*60,0)/1440</f>
        <v>0.0833333333333333</v>
      </c>
      <c r="E96" s="9" t="n">
        <f aca="false">ROUND('Recurring Budgets'!F103*IF(H96="CFO",Assumptions!$B$5,Assumptions!$B$4),0)</f>
        <v>190</v>
      </c>
      <c r="F96" s="8" t="n">
        <f aca="false">ROUND('Recurring Budgets'!G103*60,0)/1440</f>
        <v>0</v>
      </c>
      <c r="G96" s="9" t="n">
        <f aca="false">ROUND('Recurring Budgets'!G103*Assumptions!$B$5,0)</f>
        <v>0</v>
      </c>
      <c r="H96" s="10" t="str">
        <f aca="false">'Recurring Budgets'!L103</f>
        <v>Staff</v>
      </c>
    </row>
    <row r="97" customFormat="false" ht="15" hidden="false" customHeight="false" outlineLevel="0" collapsed="false">
      <c r="A97" s="11"/>
      <c r="B97" s="12" t="s">
        <v>28</v>
      </c>
      <c r="C97" s="12" t="s">
        <v>21</v>
      </c>
      <c r="D97" s="13" t="n">
        <f aca="false">ROUND('Recurring Budgets'!F104*60,0)/1440</f>
        <v>0.1875</v>
      </c>
      <c r="E97" s="14" t="n">
        <f aca="false">ROUND('Recurring Budgets'!F104*IF(H97="CFO",Assumptions!$B$5,Assumptions!$B$4),0)</f>
        <v>1125</v>
      </c>
      <c r="F97" s="13" t="n">
        <f aca="false">ROUND('Recurring Budgets'!G104*60,0)/1440</f>
        <v>0</v>
      </c>
      <c r="G97" s="14" t="n">
        <f aca="false">ROUND('Recurring Budgets'!G104*Assumptions!$B$5,0)</f>
        <v>0</v>
      </c>
      <c r="H97" s="15" t="str">
        <f aca="false">'Recurring Budgets'!L104</f>
        <v>CFO</v>
      </c>
    </row>
    <row r="98" customFormat="false" ht="15" hidden="false" customHeight="false" outlineLevel="0" collapsed="false">
      <c r="A98" s="11"/>
      <c r="B98" s="12" t="s">
        <v>14</v>
      </c>
      <c r="C98" s="12" t="s">
        <v>15</v>
      </c>
      <c r="D98" s="13" t="n">
        <f aca="false">ROUND('Recurring Budgets'!F105*60,0)/1440</f>
        <v>0.0416666666666667</v>
      </c>
      <c r="E98" s="14" t="n">
        <f aca="false">ROUND('Recurring Budgets'!F105*IF(H98="CFO",Assumptions!$B$5,Assumptions!$B$4),0)</f>
        <v>95</v>
      </c>
      <c r="F98" s="13" t="n">
        <f aca="false">ROUND('Recurring Budgets'!G105*60,0)/1440</f>
        <v>0.0208333333333333</v>
      </c>
      <c r="G98" s="14" t="n">
        <f aca="false">ROUND('Recurring Budgets'!G105*Assumptions!$B$5,0)</f>
        <v>125</v>
      </c>
      <c r="H98" s="15" t="str">
        <f aca="false">'Recurring Budgets'!L105</f>
        <v>Staff</v>
      </c>
    </row>
    <row r="99" customFormat="false" ht="15" hidden="false" customHeight="false" outlineLevel="0" collapsed="false">
      <c r="A99" s="16" t="s">
        <v>74</v>
      </c>
      <c r="B99" s="17" t="s">
        <v>12</v>
      </c>
      <c r="C99" s="17" t="s">
        <v>13</v>
      </c>
      <c r="D99" s="18" t="n">
        <f aca="false">ROUND('Recurring Budgets'!F106*60,0)/1440</f>
        <v>0.0159722222222222</v>
      </c>
      <c r="E99" s="19" t="n">
        <f aca="false">ROUND('Recurring Budgets'!F106*IF(H99="CFO",Assumptions!$B$5,Assumptions!$B$4),0)</f>
        <v>36</v>
      </c>
      <c r="F99" s="18" t="n">
        <f aca="false">ROUND('Recurring Budgets'!G106*60,0)/1440</f>
        <v>0</v>
      </c>
      <c r="G99" s="19" t="n">
        <f aca="false">ROUND('Recurring Budgets'!G106*Assumptions!$B$5,0)</f>
        <v>0</v>
      </c>
      <c r="H99" s="20" t="str">
        <f aca="false">'Recurring Budgets'!L106</f>
        <v>Staff</v>
      </c>
    </row>
    <row r="100" customFormat="false" ht="15" hidden="false" customHeight="false" outlineLevel="0" collapsed="false">
      <c r="A100" s="21"/>
      <c r="B100" s="22" t="s">
        <v>14</v>
      </c>
      <c r="C100" s="22" t="s">
        <v>15</v>
      </c>
      <c r="D100" s="23" t="n">
        <f aca="false">ROUND('Recurring Budgets'!F107*60,0)/1440</f>
        <v>0.0659722222222222</v>
      </c>
      <c r="E100" s="24" t="n">
        <f aca="false">ROUND('Recurring Budgets'!F107*IF(H100="CFO",Assumptions!$B$5,Assumptions!$B$4),0)</f>
        <v>150</v>
      </c>
      <c r="F100" s="23" t="n">
        <f aca="false">ROUND('Recurring Budgets'!G107*60,0)/1440</f>
        <v>0.0201388888888889</v>
      </c>
      <c r="G100" s="24" t="n">
        <f aca="false">ROUND('Recurring Budgets'!G107*Assumptions!$B$5,0)</f>
        <v>121</v>
      </c>
      <c r="H100" s="25" t="str">
        <f aca="false">'Recurring Budgets'!L107</f>
        <v>Staff</v>
      </c>
    </row>
    <row r="101" customFormat="false" ht="15" hidden="false" customHeight="false" outlineLevel="0" collapsed="false">
      <c r="A101" s="6" t="s">
        <v>75</v>
      </c>
      <c r="B101" s="7" t="s">
        <v>12</v>
      </c>
      <c r="C101" s="7" t="s">
        <v>13</v>
      </c>
      <c r="D101" s="8" t="n">
        <f aca="false">ROUND('Recurring Budgets'!F108*60,0)/1440</f>
        <v>0.0159722222222222</v>
      </c>
      <c r="E101" s="9" t="n">
        <f aca="false">ROUND('Recurring Budgets'!F108*IF(H101="CFO",Assumptions!$B$5,Assumptions!$B$4),0)</f>
        <v>36</v>
      </c>
      <c r="F101" s="8" t="n">
        <f aca="false">ROUND('Recurring Budgets'!G108*60,0)/1440</f>
        <v>0</v>
      </c>
      <c r="G101" s="9" t="n">
        <f aca="false">ROUND('Recurring Budgets'!G108*Assumptions!$B$5,0)</f>
        <v>0</v>
      </c>
      <c r="H101" s="10" t="str">
        <f aca="false">'Recurring Budgets'!L108</f>
        <v>Staff</v>
      </c>
    </row>
    <row r="102" customFormat="false" ht="15" hidden="false" customHeight="false" outlineLevel="0" collapsed="false">
      <c r="A102" s="11"/>
      <c r="B102" s="12" t="s">
        <v>14</v>
      </c>
      <c r="C102" s="12" t="s">
        <v>15</v>
      </c>
      <c r="D102" s="13" t="n">
        <f aca="false">ROUND('Recurring Budgets'!F109*60,0)/1440</f>
        <v>0.03125</v>
      </c>
      <c r="E102" s="14" t="n">
        <f aca="false">ROUND('Recurring Budgets'!F109*IF(H102="CFO",Assumptions!$B$5,Assumptions!$B$4),0)</f>
        <v>71</v>
      </c>
      <c r="F102" s="13" t="n">
        <f aca="false">ROUND('Recurring Budgets'!G109*60,0)/1440</f>
        <v>0.0159722222222222</v>
      </c>
      <c r="G102" s="14" t="n">
        <f aca="false">ROUND('Recurring Budgets'!G109*Assumptions!$B$5,0)</f>
        <v>96</v>
      </c>
      <c r="H102" s="15" t="str">
        <f aca="false">'Recurring Budgets'!L109</f>
        <v>Staff</v>
      </c>
    </row>
    <row r="103" customFormat="false" ht="15" hidden="false" customHeight="false" outlineLevel="0" collapsed="false">
      <c r="A103" s="16" t="s">
        <v>76</v>
      </c>
      <c r="B103" s="17" t="s">
        <v>12</v>
      </c>
      <c r="C103" s="17" t="s">
        <v>13</v>
      </c>
      <c r="D103" s="18" t="n">
        <f aca="false">ROUND('Recurring Budgets'!F110*60,0)/1440</f>
        <v>0.03125</v>
      </c>
      <c r="E103" s="19" t="n">
        <f aca="false">ROUND('Recurring Budgets'!F110*IF(H103="CFO",Assumptions!$B$5,Assumptions!$B$4),0)</f>
        <v>71</v>
      </c>
      <c r="F103" s="18" t="n">
        <f aca="false">ROUND('Recurring Budgets'!G110*60,0)/1440</f>
        <v>0</v>
      </c>
      <c r="G103" s="19" t="n">
        <f aca="false">ROUND('Recurring Budgets'!G110*Assumptions!$B$5,0)</f>
        <v>0</v>
      </c>
      <c r="H103" s="20" t="str">
        <f aca="false">'Recurring Budgets'!L110</f>
        <v>Staff</v>
      </c>
    </row>
    <row r="104" customFormat="false" ht="15" hidden="false" customHeight="false" outlineLevel="0" collapsed="false">
      <c r="A104" s="21"/>
      <c r="B104" s="22" t="s">
        <v>77</v>
      </c>
      <c r="C104" s="22" t="s">
        <v>56</v>
      </c>
      <c r="D104" s="23" t="n">
        <f aca="false">ROUND('Recurring Budgets'!F111*60,0)/1440</f>
        <v>0.177083333333333</v>
      </c>
      <c r="E104" s="24" t="n">
        <f aca="false">ROUND('Recurring Budgets'!F111*IF(H104="CFO",Assumptions!$B$5,Assumptions!$B$4),0)</f>
        <v>404</v>
      </c>
      <c r="F104" s="23" t="n">
        <f aca="false">ROUND('Recurring Budgets'!G111*60,0)/1440</f>
        <v>0.0104166666666667</v>
      </c>
      <c r="G104" s="24" t="n">
        <f aca="false">ROUND('Recurring Budgets'!G111*Assumptions!$B$5,0)</f>
        <v>63</v>
      </c>
      <c r="H104" s="25" t="str">
        <f aca="false">'Recurring Budgets'!L111</f>
        <v>Staff</v>
      </c>
    </row>
    <row r="105" customFormat="false" ht="15" hidden="false" customHeight="false" outlineLevel="0" collapsed="false">
      <c r="A105" s="21"/>
      <c r="B105" s="22" t="s">
        <v>14</v>
      </c>
      <c r="C105" s="22" t="s">
        <v>15</v>
      </c>
      <c r="D105" s="23" t="n">
        <f aca="false">ROUND('Recurring Budgets'!F112*60,0)/1440</f>
        <v>0.232638888888889</v>
      </c>
      <c r="E105" s="24" t="n">
        <f aca="false">ROUND('Recurring Budgets'!F112*IF(H105="CFO",Assumptions!$B$5,Assumptions!$B$4),0)</f>
        <v>530</v>
      </c>
      <c r="F105" s="23" t="n">
        <f aca="false">ROUND('Recurring Budgets'!G112*60,0)/1440</f>
        <v>0.0208333333333333</v>
      </c>
      <c r="G105" s="24" t="n">
        <f aca="false">ROUND('Recurring Budgets'!G112*Assumptions!$B$5,0)</f>
        <v>125</v>
      </c>
      <c r="H105" s="25" t="str">
        <f aca="false">'Recurring Budgets'!L112</f>
        <v>Staff</v>
      </c>
    </row>
    <row r="106" customFormat="false" ht="15" hidden="false" customHeight="false" outlineLevel="0" collapsed="false">
      <c r="A106" s="21"/>
      <c r="B106" s="22" t="s">
        <v>78</v>
      </c>
      <c r="C106" s="22" t="s">
        <v>15</v>
      </c>
      <c r="D106" s="23" t="n">
        <f aca="false">ROUND('Recurring Budgets'!F113*60,0)/1440</f>
        <v>0.184027777777778</v>
      </c>
      <c r="E106" s="24" t="n">
        <f aca="false">ROUND('Recurring Budgets'!F113*IF(H106="CFO",Assumptions!$B$5,Assumptions!$B$4),0)</f>
        <v>420</v>
      </c>
      <c r="F106" s="23" t="n">
        <f aca="false">ROUND('Recurring Budgets'!G113*60,0)/1440</f>
        <v>0</v>
      </c>
      <c r="G106" s="24" t="n">
        <f aca="false">ROUND('Recurring Budgets'!G113*Assumptions!$B$5,0)</f>
        <v>0</v>
      </c>
      <c r="H106" s="25" t="str">
        <f aca="false">'Recurring Budgets'!L113</f>
        <v>Staff</v>
      </c>
    </row>
    <row r="107" customFormat="false" ht="15" hidden="false" customHeight="false" outlineLevel="0" collapsed="false">
      <c r="A107" s="21"/>
      <c r="B107" s="22" t="s">
        <v>79</v>
      </c>
      <c r="C107" s="22" t="s">
        <v>30</v>
      </c>
      <c r="D107" s="23" t="n">
        <f aca="false">ROUND('Recurring Budgets'!F114*60,0)/1440</f>
        <v>0.0451388888888889</v>
      </c>
      <c r="E107" s="24" t="n">
        <f aca="false">ROUND('Recurring Budgets'!F114*IF(H107="CFO",Assumptions!$B$5,Assumptions!$B$4),0)</f>
        <v>103</v>
      </c>
      <c r="F107" s="23" t="n">
        <f aca="false">ROUND('Recurring Budgets'!G114*60,0)/1440</f>
        <v>0.0104166666666667</v>
      </c>
      <c r="G107" s="24" t="n">
        <f aca="false">ROUND('Recurring Budgets'!G114*Assumptions!$B$5,0)</f>
        <v>63</v>
      </c>
      <c r="H107" s="25" t="str">
        <f aca="false">'Recurring Budgets'!L114</f>
        <v>Staff</v>
      </c>
    </row>
    <row r="108" customFormat="false" ht="15" hidden="false" customHeight="false" outlineLevel="0" collapsed="false">
      <c r="A108" s="21"/>
      <c r="B108" s="22" t="s">
        <v>80</v>
      </c>
      <c r="C108" s="22" t="s">
        <v>30</v>
      </c>
      <c r="D108" s="23" t="n">
        <f aca="false">ROUND('Recurring Budgets'!F115*60,0)/1440</f>
        <v>0.00694444444444444</v>
      </c>
      <c r="E108" s="24" t="n">
        <f aca="false">ROUND('Recurring Budgets'!F115*IF(H108="CFO",Assumptions!$B$5,Assumptions!$B$4),0)</f>
        <v>42</v>
      </c>
      <c r="F108" s="23" t="n">
        <f aca="false">ROUND('Recurring Budgets'!G115*60,0)/1440</f>
        <v>0</v>
      </c>
      <c r="G108" s="24" t="n">
        <f aca="false">ROUND('Recurring Budgets'!G115*Assumptions!$B$5,0)</f>
        <v>0</v>
      </c>
      <c r="H108" s="25" t="str">
        <f aca="false">'Recurring Budgets'!L115</f>
        <v>CFO</v>
      </c>
    </row>
    <row r="109" customFormat="false" ht="15" hidden="false" customHeight="false" outlineLevel="0" collapsed="false">
      <c r="A109" s="6" t="s">
        <v>81</v>
      </c>
      <c r="B109" s="7" t="s">
        <v>12</v>
      </c>
      <c r="C109" s="7" t="s">
        <v>13</v>
      </c>
      <c r="D109" s="8" t="n">
        <f aca="false">ROUND('Recurring Budgets'!F116*60,0)/1440</f>
        <v>0.03125</v>
      </c>
      <c r="E109" s="9" t="n">
        <f aca="false">ROUND('Recurring Budgets'!F116*IF(H109="CFO",Assumptions!$B$5,Assumptions!$B$4),0)</f>
        <v>71</v>
      </c>
      <c r="F109" s="8" t="n">
        <f aca="false">ROUND('Recurring Budgets'!G116*60,0)/1440</f>
        <v>0</v>
      </c>
      <c r="G109" s="9" t="n">
        <f aca="false">ROUND('Recurring Budgets'!G116*Assumptions!$B$5,0)</f>
        <v>0</v>
      </c>
      <c r="H109" s="10" t="str">
        <f aca="false">'Recurring Budgets'!L116</f>
        <v>Staff</v>
      </c>
    </row>
    <row r="110" customFormat="false" ht="15" hidden="false" customHeight="false" outlineLevel="0" collapsed="false">
      <c r="A110" s="11"/>
      <c r="B110" s="12" t="s">
        <v>14</v>
      </c>
      <c r="C110" s="12" t="s">
        <v>15</v>
      </c>
      <c r="D110" s="13" t="n">
        <f aca="false">ROUND('Recurring Budgets'!F117*60,0)/1440</f>
        <v>0.0208333333333333</v>
      </c>
      <c r="E110" s="14" t="n">
        <f aca="false">ROUND('Recurring Budgets'!F117*IF(H110="CFO",Assumptions!$B$5,Assumptions!$B$4),0)</f>
        <v>48</v>
      </c>
      <c r="F110" s="13" t="n">
        <f aca="false">ROUND('Recurring Budgets'!G117*60,0)/1440</f>
        <v>0.025</v>
      </c>
      <c r="G110" s="14" t="n">
        <f aca="false">ROUND('Recurring Budgets'!G117*Assumptions!$B$5,0)</f>
        <v>150</v>
      </c>
      <c r="H110" s="15" t="str">
        <f aca="false">'Recurring Budgets'!L117</f>
        <v>Staff</v>
      </c>
    </row>
    <row r="111" customFormat="false" ht="15" hidden="false" customHeight="false" outlineLevel="0" collapsed="false">
      <c r="A111" s="16" t="s">
        <v>82</v>
      </c>
      <c r="B111" s="17" t="s">
        <v>12</v>
      </c>
      <c r="C111" s="17" t="s">
        <v>13</v>
      </c>
      <c r="D111" s="18" t="n">
        <f aca="false">ROUND('Recurring Budgets'!F118*60,0)/1440</f>
        <v>0.03125</v>
      </c>
      <c r="E111" s="19" t="n">
        <f aca="false">ROUND('Recurring Budgets'!F118*IF(H111="CFO",Assumptions!$B$5,Assumptions!$B$4),0)</f>
        <v>71</v>
      </c>
      <c r="F111" s="18" t="n">
        <f aca="false">ROUND('Recurring Budgets'!G118*60,0)/1440</f>
        <v>0</v>
      </c>
      <c r="G111" s="19" t="n">
        <f aca="false">ROUND('Recurring Budgets'!G118*Assumptions!$B$5,0)</f>
        <v>0</v>
      </c>
      <c r="H111" s="20" t="str">
        <f aca="false">'Recurring Budgets'!L118</f>
        <v>Staff</v>
      </c>
    </row>
    <row r="112" customFormat="false" ht="15" hidden="false" customHeight="false" outlineLevel="0" collapsed="false">
      <c r="A112" s="21"/>
      <c r="B112" s="22" t="s">
        <v>77</v>
      </c>
      <c r="C112" s="22" t="s">
        <v>56</v>
      </c>
      <c r="D112" s="23" t="n">
        <f aca="false">ROUND('Recurring Budgets'!F119*60,0)/1440</f>
        <v>0.177083333333333</v>
      </c>
      <c r="E112" s="24" t="n">
        <f aca="false">ROUND('Recurring Budgets'!F119*IF(H112="CFO",Assumptions!$B$5,Assumptions!$B$4),0)</f>
        <v>404</v>
      </c>
      <c r="F112" s="23" t="n">
        <f aca="false">ROUND('Recurring Budgets'!G119*60,0)/1440</f>
        <v>0.0104166666666667</v>
      </c>
      <c r="G112" s="24" t="n">
        <f aca="false">ROUND('Recurring Budgets'!G119*Assumptions!$B$5,0)</f>
        <v>63</v>
      </c>
      <c r="H112" s="25" t="str">
        <f aca="false">'Recurring Budgets'!L119</f>
        <v>Staff</v>
      </c>
    </row>
    <row r="113" customFormat="false" ht="15" hidden="false" customHeight="false" outlineLevel="0" collapsed="false">
      <c r="A113" s="21"/>
      <c r="B113" s="22" t="s">
        <v>14</v>
      </c>
      <c r="C113" s="22" t="s">
        <v>15</v>
      </c>
      <c r="D113" s="23" t="n">
        <f aca="false">ROUND('Recurring Budgets'!F120*60,0)/1440</f>
        <v>0.229166666666667</v>
      </c>
      <c r="E113" s="24" t="n">
        <f aca="false">ROUND('Recurring Budgets'!F120*IF(H113="CFO",Assumptions!$B$5,Assumptions!$B$4),0)</f>
        <v>523</v>
      </c>
      <c r="F113" s="23" t="n">
        <f aca="false">ROUND('Recurring Budgets'!G120*60,0)/1440</f>
        <v>0.025</v>
      </c>
      <c r="G113" s="24" t="n">
        <f aca="false">ROUND('Recurring Budgets'!G120*Assumptions!$B$5,0)</f>
        <v>150</v>
      </c>
      <c r="H113" s="25" t="str">
        <f aca="false">'Recurring Budgets'!L120</f>
        <v>Staff</v>
      </c>
    </row>
    <row r="114" customFormat="false" ht="15" hidden="false" customHeight="false" outlineLevel="0" collapsed="false">
      <c r="A114" s="21"/>
      <c r="B114" s="22" t="s">
        <v>49</v>
      </c>
      <c r="C114" s="22" t="s">
        <v>15</v>
      </c>
      <c r="D114" s="23" t="n">
        <f aca="false">ROUND('Recurring Budgets'!F121*60,0)/1440</f>
        <v>0.184027777777778</v>
      </c>
      <c r="E114" s="24" t="n">
        <f aca="false">ROUND('Recurring Budgets'!F121*IF(H114="CFO",Assumptions!$B$5,Assumptions!$B$4),0)</f>
        <v>420</v>
      </c>
      <c r="F114" s="23" t="n">
        <f aca="false">ROUND('Recurring Budgets'!G121*60,0)/1440</f>
        <v>0</v>
      </c>
      <c r="G114" s="24" t="n">
        <f aca="false">ROUND('Recurring Budgets'!G121*Assumptions!$B$5,0)</f>
        <v>0</v>
      </c>
      <c r="H114" s="25" t="str">
        <f aca="false">'Recurring Budgets'!L121</f>
        <v>Staff</v>
      </c>
    </row>
    <row r="115" customFormat="false" ht="15" hidden="false" customHeight="false" outlineLevel="0" collapsed="false">
      <c r="A115" s="21"/>
      <c r="B115" s="22" t="s">
        <v>79</v>
      </c>
      <c r="C115" s="22" t="s">
        <v>30</v>
      </c>
      <c r="D115" s="23" t="n">
        <f aca="false">ROUND('Recurring Budgets'!F122*60,0)/1440</f>
        <v>0.0451388888888889</v>
      </c>
      <c r="E115" s="24" t="n">
        <f aca="false">ROUND('Recurring Budgets'!F122*IF(H115="CFO",Assumptions!$B$5,Assumptions!$B$4),0)</f>
        <v>103</v>
      </c>
      <c r="F115" s="23" t="n">
        <f aca="false">ROUND('Recurring Budgets'!G122*60,0)/1440</f>
        <v>0.0104166666666667</v>
      </c>
      <c r="G115" s="24" t="n">
        <f aca="false">ROUND('Recurring Budgets'!G122*Assumptions!$B$5,0)</f>
        <v>63</v>
      </c>
      <c r="H115" s="25" t="str">
        <f aca="false">'Recurring Budgets'!L122</f>
        <v>Staff</v>
      </c>
    </row>
    <row r="116" customFormat="false" ht="15" hidden="false" customHeight="false" outlineLevel="0" collapsed="false">
      <c r="A116" s="21"/>
      <c r="B116" s="22" t="s">
        <v>80</v>
      </c>
      <c r="C116" s="22" t="s">
        <v>30</v>
      </c>
      <c r="D116" s="23" t="n">
        <f aca="false">ROUND('Recurring Budgets'!F123*60,0)/1440</f>
        <v>0.00694444444444444</v>
      </c>
      <c r="E116" s="24" t="n">
        <f aca="false">ROUND('Recurring Budgets'!F123*IF(H116="CFO",Assumptions!$B$5,Assumptions!$B$4),0)</f>
        <v>42</v>
      </c>
      <c r="F116" s="23" t="n">
        <f aca="false">ROUND('Recurring Budgets'!G123*60,0)/1440</f>
        <v>0</v>
      </c>
      <c r="G116" s="24" t="n">
        <f aca="false">ROUND('Recurring Budgets'!G123*Assumptions!$B$5,0)</f>
        <v>0</v>
      </c>
      <c r="H116" s="25" t="str">
        <f aca="false">'Recurring Budgets'!L123</f>
        <v>CFO</v>
      </c>
    </row>
    <row r="117" customFormat="false" ht="15" hidden="false" customHeight="false" outlineLevel="0" collapsed="false">
      <c r="A117" s="6" t="s">
        <v>83</v>
      </c>
      <c r="B117" s="7" t="s">
        <v>12</v>
      </c>
      <c r="C117" s="7" t="s">
        <v>13</v>
      </c>
      <c r="D117" s="8" t="n">
        <f aca="false">ROUND('Recurring Budgets'!F124*60,0)/1440</f>
        <v>0.03125</v>
      </c>
      <c r="E117" s="9" t="n">
        <f aca="false">ROUND('Recurring Budgets'!F124*IF(H117="CFO",Assumptions!$B$5,Assumptions!$B$4),0)</f>
        <v>71</v>
      </c>
      <c r="F117" s="8" t="n">
        <f aca="false">ROUND('Recurring Budgets'!G124*60,0)/1440</f>
        <v>0</v>
      </c>
      <c r="G117" s="9" t="n">
        <f aca="false">ROUND('Recurring Budgets'!G124*Assumptions!$B$5,0)</f>
        <v>0</v>
      </c>
      <c r="H117" s="10" t="str">
        <f aca="false">'Recurring Budgets'!L124</f>
        <v>Staff</v>
      </c>
    </row>
    <row r="118" customFormat="false" ht="15" hidden="false" customHeight="false" outlineLevel="0" collapsed="false">
      <c r="A118" s="11"/>
      <c r="B118" s="12" t="s">
        <v>17</v>
      </c>
      <c r="C118" s="12" t="s">
        <v>13</v>
      </c>
      <c r="D118" s="13" t="n">
        <f aca="false">ROUND('Recurring Budgets'!F125*60,0)/1440</f>
        <v>0.315972222222222</v>
      </c>
      <c r="E118" s="14" t="n">
        <f aca="false">ROUND('Recurring Budgets'!F125*IF(H118="CFO",Assumptions!$B$5,Assumptions!$B$4),0)</f>
        <v>720</v>
      </c>
      <c r="F118" s="13" t="n">
        <f aca="false">ROUND('Recurring Budgets'!G125*60,0)/1440</f>
        <v>0.0416666666666667</v>
      </c>
      <c r="G118" s="14" t="n">
        <f aca="false">ROUND('Recurring Budgets'!G125*Assumptions!$B$5,0)</f>
        <v>250</v>
      </c>
      <c r="H118" s="15" t="str">
        <f aca="false">'Recurring Budgets'!L125</f>
        <v>Staff</v>
      </c>
    </row>
    <row r="119" customFormat="false" ht="15" hidden="false" customHeight="false" outlineLevel="0" collapsed="false">
      <c r="A119" s="2"/>
      <c r="B119" s="2"/>
      <c r="C119" s="2"/>
      <c r="D119" s="2"/>
      <c r="E119" s="2"/>
      <c r="F119" s="2"/>
      <c r="G119" s="2"/>
      <c r="H119" s="2"/>
    </row>
    <row r="120" customFormat="false" ht="15" hidden="false" customHeight="false" outlineLevel="0" collapsed="false">
      <c r="A120" s="4" t="s">
        <v>84</v>
      </c>
      <c r="B120" s="2"/>
      <c r="C120" s="2"/>
      <c r="D120" s="2"/>
      <c r="E120" s="2"/>
      <c r="F120" s="2"/>
      <c r="G120" s="2"/>
      <c r="H120" s="2"/>
    </row>
    <row r="121" customFormat="false" ht="15" hidden="false" customHeight="false" outlineLevel="0" collapsed="false">
      <c r="A121" s="26" t="s">
        <v>85</v>
      </c>
      <c r="B121" s="2"/>
      <c r="C121" s="2"/>
      <c r="D121" s="2"/>
      <c r="E121" s="2"/>
      <c r="F121" s="2"/>
      <c r="G121" s="2"/>
      <c r="H121" s="2"/>
    </row>
    <row r="122" customFormat="false" ht="31.5" hidden="false" customHeight="true" outlineLevel="0" collapsed="false">
      <c r="A122" s="5" t="s">
        <v>3</v>
      </c>
      <c r="B122" s="5" t="s">
        <v>86</v>
      </c>
      <c r="C122" s="5" t="s">
        <v>87</v>
      </c>
      <c r="D122" s="5" t="s">
        <v>88</v>
      </c>
      <c r="E122" s="5" t="s">
        <v>89</v>
      </c>
      <c r="F122" s="5" t="s">
        <v>90</v>
      </c>
      <c r="G122" s="2"/>
      <c r="H122" s="2"/>
    </row>
    <row r="123" customFormat="false" ht="15" hidden="false" customHeight="false" outlineLevel="0" collapsed="false">
      <c r="A123" s="6" t="s">
        <v>11</v>
      </c>
      <c r="B123" s="7" t="s">
        <v>91</v>
      </c>
      <c r="C123" s="7" t="s">
        <v>92</v>
      </c>
      <c r="D123" s="27" t="n">
        <f aca="false">ROUND('Recurring Budgets'!H2*60,0)/1440</f>
        <v>0.0520833333333333</v>
      </c>
      <c r="E123" s="27" t="n">
        <f aca="false">ROUND('Open Items (Karbon)'!K3*60,0)/1440</f>
        <v>0.104166666666667</v>
      </c>
      <c r="F123" s="28" t="n">
        <f aca="false">ROUND((E123-D123)*24,2)</f>
        <v>1.25</v>
      </c>
      <c r="G123" s="7"/>
      <c r="H123" s="7"/>
    </row>
    <row r="124" customFormat="false" ht="15" hidden="false" customHeight="false" outlineLevel="0" collapsed="false">
      <c r="A124" s="16" t="s">
        <v>16</v>
      </c>
      <c r="B124" s="17" t="s">
        <v>91</v>
      </c>
      <c r="C124" s="17" t="s">
        <v>92</v>
      </c>
      <c r="D124" s="29" t="n">
        <f aca="false">ROUND('Recurring Budgets'!H4*60,0)/1440</f>
        <v>0.0520833333333333</v>
      </c>
      <c r="E124" s="29" t="n">
        <f aca="false">ROUND('Open Items (Karbon)'!K7*60,0)/1440</f>
        <v>0.104166666666667</v>
      </c>
      <c r="F124" s="30" t="n">
        <f aca="false">ROUND((E124-D124)*24,2)</f>
        <v>1.25</v>
      </c>
      <c r="G124" s="17"/>
      <c r="H124" s="17"/>
    </row>
    <row r="125" customFormat="false" ht="15" hidden="false" customHeight="false" outlineLevel="0" collapsed="false">
      <c r="A125" s="6" t="s">
        <v>22</v>
      </c>
      <c r="B125" s="7" t="s">
        <v>91</v>
      </c>
      <c r="C125" s="7" t="s">
        <v>92</v>
      </c>
      <c r="D125" s="27" t="n">
        <f aca="false">ROUND('Recurring Budgets'!H8*60,0)/1440</f>
        <v>0.0520833333333333</v>
      </c>
      <c r="E125" s="27" t="n">
        <f aca="false">ROUND('Open Items (Karbon)'!K10*60,0)/1440</f>
        <v>0.104166666666667</v>
      </c>
      <c r="F125" s="28" t="n">
        <f aca="false">ROUND((E125-D125)*24,2)</f>
        <v>1.25</v>
      </c>
      <c r="G125" s="7"/>
      <c r="H125" s="7"/>
    </row>
    <row r="126" customFormat="false" ht="15" hidden="false" customHeight="false" outlineLevel="0" collapsed="false">
      <c r="A126" s="16" t="s">
        <v>23</v>
      </c>
      <c r="B126" s="17" t="s">
        <v>91</v>
      </c>
      <c r="C126" s="17" t="s">
        <v>92</v>
      </c>
      <c r="D126" s="29" t="n">
        <f aca="false">ROUND('Recurring Budgets'!H10*60,0)/1440</f>
        <v>0.0520833333333333</v>
      </c>
      <c r="E126" s="29" t="n">
        <f aca="false">ROUND('Open Items (Karbon)'!K13*60,0)/1440</f>
        <v>0.104166666666667</v>
      </c>
      <c r="F126" s="30" t="n">
        <f aca="false">ROUND((E126-D126)*24,2)</f>
        <v>1.25</v>
      </c>
      <c r="G126" s="17"/>
      <c r="H126" s="17"/>
    </row>
    <row r="127" customFormat="false" ht="15" hidden="false" customHeight="false" outlineLevel="0" collapsed="false">
      <c r="A127" s="6" t="s">
        <v>24</v>
      </c>
      <c r="B127" s="7" t="s">
        <v>91</v>
      </c>
      <c r="C127" s="7" t="s">
        <v>92</v>
      </c>
      <c r="D127" s="27" t="n">
        <f aca="false">ROUND('Recurring Budgets'!H12*60,0)/1440</f>
        <v>0.03125</v>
      </c>
      <c r="E127" s="27" t="n">
        <f aca="false">ROUND('Open Items (Karbon)'!K15*60,0)/1440</f>
        <v>0.0625</v>
      </c>
      <c r="F127" s="28" t="n">
        <f aca="false">ROUND((E127-D127)*24,2)</f>
        <v>0.75</v>
      </c>
      <c r="G127" s="7"/>
      <c r="H127" s="7"/>
    </row>
    <row r="128" customFormat="false" ht="15" hidden="false" customHeight="false" outlineLevel="0" collapsed="false">
      <c r="A128" s="16" t="s">
        <v>36</v>
      </c>
      <c r="B128" s="17" t="s">
        <v>91</v>
      </c>
      <c r="C128" s="17" t="s">
        <v>92</v>
      </c>
      <c r="D128" s="29" t="n">
        <f aca="false">ROUND('Recurring Budgets'!H32*60,0)/1440</f>
        <v>0.0833333333333333</v>
      </c>
      <c r="E128" s="29" t="n">
        <f aca="false">ROUND('Open Items (Karbon)'!K44*60,0)/1440</f>
        <v>0.166666666666667</v>
      </c>
      <c r="F128" s="30" t="n">
        <f aca="false">ROUND((E128-D128)*24,2)</f>
        <v>2</v>
      </c>
      <c r="G128" s="17"/>
      <c r="H128" s="17"/>
    </row>
    <row r="129" customFormat="false" ht="15" hidden="false" customHeight="false" outlineLevel="0" collapsed="false">
      <c r="A129" s="6" t="s">
        <v>38</v>
      </c>
      <c r="B129" s="7" t="s">
        <v>91</v>
      </c>
      <c r="C129" s="7" t="s">
        <v>92</v>
      </c>
      <c r="D129" s="27" t="n">
        <f aca="false">ROUND('Recurring Budgets'!H36*60,0)/1440</f>
        <v>0.0833333333333333</v>
      </c>
      <c r="E129" s="27" t="n">
        <f aca="false">ROUND('Open Items (Karbon)'!K49*60,0)/1440</f>
        <v>0.166666666666667</v>
      </c>
      <c r="F129" s="28" t="n">
        <f aca="false">ROUND((E129-D129)*24,2)</f>
        <v>2</v>
      </c>
      <c r="G129" s="7"/>
      <c r="H129" s="7"/>
    </row>
    <row r="130" customFormat="false" ht="15" hidden="false" customHeight="false" outlineLevel="0" collapsed="false">
      <c r="A130" s="16" t="s">
        <v>39</v>
      </c>
      <c r="B130" s="17" t="s">
        <v>91</v>
      </c>
      <c r="C130" s="17" t="s">
        <v>92</v>
      </c>
      <c r="D130" s="29" t="n">
        <f aca="false">ROUND('Recurring Budgets'!H38*60,0)/1440</f>
        <v>0.0159722222222222</v>
      </c>
      <c r="E130" s="29" t="n">
        <f aca="false">ROUND('Open Items (Karbon)'!K51*60,0)/1440</f>
        <v>0.03125</v>
      </c>
      <c r="F130" s="30" t="n">
        <f aca="false">ROUND((E130-D130)*24,2)</f>
        <v>0.37</v>
      </c>
      <c r="G130" s="17"/>
      <c r="H130" s="17"/>
    </row>
    <row r="131" customFormat="false" ht="15" hidden="false" customHeight="false" outlineLevel="0" collapsed="false">
      <c r="A131" s="6" t="s">
        <v>43</v>
      </c>
      <c r="B131" s="7" t="s">
        <v>93</v>
      </c>
      <c r="C131" s="7" t="s">
        <v>94</v>
      </c>
      <c r="D131" s="27" t="n">
        <f aca="false">ROUND('Recurring Budgets'!H45*60,0)/1440</f>
        <v>0.0833333333333333</v>
      </c>
      <c r="E131" s="27" t="n">
        <f aca="false">ROUND('Open Items (Karbon)'!K58*60,0)/1440</f>
        <v>0.03125</v>
      </c>
      <c r="F131" s="28" t="n">
        <f aca="false">ROUND((E131-D131)*24,2)</f>
        <v>-1.25</v>
      </c>
      <c r="G131" s="7"/>
      <c r="H131" s="7"/>
    </row>
    <row r="132" customFormat="false" ht="15" hidden="false" customHeight="false" outlineLevel="0" collapsed="false">
      <c r="A132" s="16" t="s">
        <v>45</v>
      </c>
      <c r="B132" s="17" t="s">
        <v>91</v>
      </c>
      <c r="C132" s="17" t="s">
        <v>92</v>
      </c>
      <c r="D132" s="29" t="n">
        <f aca="false">ROUND('Recurring Budgets'!H48*60,0)/1440</f>
        <v>0.0833333333333333</v>
      </c>
      <c r="E132" s="29" t="n">
        <f aca="false">ROUND('Open Items (Karbon)'!K66*60,0)/1440</f>
        <v>0.166666666666667</v>
      </c>
      <c r="F132" s="30" t="n">
        <f aca="false">ROUND((E132-D132)*24,2)</f>
        <v>2</v>
      </c>
      <c r="G132" s="17"/>
      <c r="H132" s="17"/>
    </row>
    <row r="133" customFormat="false" ht="15" hidden="false" customHeight="false" outlineLevel="0" collapsed="false">
      <c r="A133" s="6" t="s">
        <v>46</v>
      </c>
      <c r="B133" s="7" t="s">
        <v>91</v>
      </c>
      <c r="C133" s="7" t="s">
        <v>92</v>
      </c>
      <c r="D133" s="27" t="n">
        <f aca="false">ROUND('Recurring Budgets'!H49*60,0)/1440</f>
        <v>0.03125</v>
      </c>
      <c r="E133" s="27" t="n">
        <f aca="false">ROUND('Open Items (Karbon)'!K69*60,0)/1440</f>
        <v>0.0625</v>
      </c>
      <c r="F133" s="28" t="n">
        <f aca="false">ROUND((E133-D133)*24,2)</f>
        <v>0.75</v>
      </c>
      <c r="G133" s="7"/>
      <c r="H133" s="7"/>
    </row>
    <row r="134" customFormat="false" ht="15" hidden="false" customHeight="false" outlineLevel="0" collapsed="false">
      <c r="A134" s="16" t="s">
        <v>50</v>
      </c>
      <c r="B134" s="17" t="s">
        <v>93</v>
      </c>
      <c r="C134" s="17" t="s">
        <v>94</v>
      </c>
      <c r="D134" s="29" t="n">
        <f aca="false">ROUND('Recurring Budgets'!H67*60,0)/1440</f>
        <v>0.0833333333333333</v>
      </c>
      <c r="E134" s="29" t="n">
        <f aca="false">ROUND('Open Items (Karbon)'!K93*60,0)/1440</f>
        <v>0.03125</v>
      </c>
      <c r="F134" s="30" t="n">
        <f aca="false">ROUND((E134-D134)*24,2)</f>
        <v>-1.25</v>
      </c>
      <c r="G134" s="17"/>
      <c r="H134" s="17"/>
    </row>
    <row r="135" customFormat="false" ht="15" hidden="false" customHeight="false" outlineLevel="0" collapsed="false">
      <c r="A135" s="6" t="s">
        <v>52</v>
      </c>
      <c r="B135" s="7" t="s">
        <v>91</v>
      </c>
      <c r="C135" s="7" t="s">
        <v>92</v>
      </c>
      <c r="D135" s="27" t="n">
        <f aca="false">ROUND('Recurring Budgets'!H70*60,0)/1440</f>
        <v>0.03125</v>
      </c>
      <c r="E135" s="27" t="n">
        <f aca="false">ROUND('Open Items (Karbon)'!K100*60,0)/1440</f>
        <v>0.0625</v>
      </c>
      <c r="F135" s="28" t="n">
        <f aca="false">ROUND((E135-D135)*24,2)</f>
        <v>0.75</v>
      </c>
      <c r="G135" s="7"/>
      <c r="H135" s="7"/>
    </row>
    <row r="136" customFormat="false" ht="15" hidden="false" customHeight="false" outlineLevel="0" collapsed="false">
      <c r="A136" s="16" t="s">
        <v>53</v>
      </c>
      <c r="B136" s="17" t="s">
        <v>91</v>
      </c>
      <c r="C136" s="17" t="s">
        <v>92</v>
      </c>
      <c r="D136" s="29" t="n">
        <f aca="false">ROUND('Recurring Budgets'!H72*60,0)/1440</f>
        <v>0.0833333333333333</v>
      </c>
      <c r="E136" s="29" t="n">
        <f aca="false">ROUND('Open Items (Karbon)'!K102*60,0)/1440</f>
        <v>0.166666666666667</v>
      </c>
      <c r="F136" s="30" t="n">
        <f aca="false">ROUND((E136-D136)*24,2)</f>
        <v>2</v>
      </c>
      <c r="G136" s="17"/>
      <c r="H136" s="17"/>
    </row>
    <row r="137" customFormat="false" ht="15" hidden="false" customHeight="false" outlineLevel="0" collapsed="false">
      <c r="A137" s="6" t="s">
        <v>54</v>
      </c>
      <c r="B137" s="7" t="s">
        <v>91</v>
      </c>
      <c r="C137" s="7" t="s">
        <v>92</v>
      </c>
      <c r="D137" s="27" t="n">
        <f aca="false">ROUND('Recurring Budgets'!H74*60,0)/1440</f>
        <v>0.0833333333333333</v>
      </c>
      <c r="E137" s="27" t="n">
        <f aca="false">ROUND('Open Items (Karbon)'!K107*60,0)/1440</f>
        <v>0.166666666666667</v>
      </c>
      <c r="F137" s="28" t="n">
        <f aca="false">ROUND((E137-D137)*24,2)</f>
        <v>2</v>
      </c>
      <c r="G137" s="7"/>
      <c r="H137" s="7"/>
    </row>
    <row r="138" customFormat="false" ht="15" hidden="false" customHeight="false" outlineLevel="0" collapsed="false">
      <c r="A138" s="16" t="s">
        <v>58</v>
      </c>
      <c r="B138" s="17" t="s">
        <v>91</v>
      </c>
      <c r="C138" s="17" t="s">
        <v>92</v>
      </c>
      <c r="D138" s="29" t="n">
        <f aca="false">ROUND('Recurring Budgets'!H78*60,0)/1440</f>
        <v>0.03125</v>
      </c>
      <c r="E138" s="29" t="n">
        <f aca="false">ROUND('Open Items (Karbon)'!K109*60,0)/1440</f>
        <v>0.0625</v>
      </c>
      <c r="F138" s="30" t="n">
        <f aca="false">ROUND((E138-D138)*24,2)</f>
        <v>0.75</v>
      </c>
      <c r="G138" s="17"/>
      <c r="H138" s="17"/>
    </row>
    <row r="139" customFormat="false" ht="15" hidden="false" customHeight="false" outlineLevel="0" collapsed="false">
      <c r="A139" s="6" t="s">
        <v>61</v>
      </c>
      <c r="B139" s="7" t="s">
        <v>91</v>
      </c>
      <c r="C139" s="7" t="s">
        <v>92</v>
      </c>
      <c r="D139" s="27" t="n">
        <f aca="false">ROUND('Recurring Budgets'!H81*60,0)/1440</f>
        <v>0.0833333333333333</v>
      </c>
      <c r="E139" s="27" t="n">
        <f aca="false">ROUND('Open Items (Karbon)'!K113*60,0)/1440</f>
        <v>0.166666666666667</v>
      </c>
      <c r="F139" s="28" t="n">
        <f aca="false">ROUND((E139-D139)*24,2)</f>
        <v>2</v>
      </c>
      <c r="G139" s="7"/>
      <c r="H139" s="7"/>
    </row>
    <row r="140" customFormat="false" ht="15" hidden="false" customHeight="false" outlineLevel="0" collapsed="false">
      <c r="A140" s="16" t="s">
        <v>69</v>
      </c>
      <c r="B140" s="17" t="s">
        <v>91</v>
      </c>
      <c r="C140" s="17" t="s">
        <v>92</v>
      </c>
      <c r="D140" s="29" t="n">
        <f aca="false">ROUND('Recurring Budgets'!H92*60,0)/1440</f>
        <v>0.0159722222222222</v>
      </c>
      <c r="E140" s="29" t="n">
        <f aca="false">ROUND('Open Items (Karbon)'!K130*60,0)/1440</f>
        <v>0.03125</v>
      </c>
      <c r="F140" s="30" t="n">
        <f aca="false">ROUND((E140-D140)*24,2)</f>
        <v>0.37</v>
      </c>
      <c r="G140" s="17"/>
      <c r="H140" s="17"/>
    </row>
    <row r="141" customFormat="false" ht="15" hidden="false" customHeight="false" outlineLevel="0" collapsed="false">
      <c r="A141" s="6" t="s">
        <v>70</v>
      </c>
      <c r="B141" s="7" t="s">
        <v>91</v>
      </c>
      <c r="C141" s="7" t="s">
        <v>92</v>
      </c>
      <c r="D141" s="27" t="n">
        <f aca="false">ROUND('Recurring Budgets'!H96*60,0)/1440</f>
        <v>0.03125</v>
      </c>
      <c r="E141" s="27" t="n">
        <f aca="false">ROUND('Open Items (Karbon)'!K141*60,0)/1440</f>
        <v>0.0625</v>
      </c>
      <c r="F141" s="28" t="n">
        <f aca="false">ROUND((E141-D141)*24,2)</f>
        <v>0.75</v>
      </c>
      <c r="G141" s="7"/>
      <c r="H141" s="7"/>
    </row>
    <row r="142" customFormat="false" ht="15" hidden="false" customHeight="false" outlineLevel="0" collapsed="false">
      <c r="A142" s="16" t="s">
        <v>71</v>
      </c>
      <c r="B142" s="17" t="s">
        <v>91</v>
      </c>
      <c r="C142" s="17" t="s">
        <v>92</v>
      </c>
      <c r="D142" s="29" t="n">
        <f aca="false">ROUND('Recurring Budgets'!H99*60,0)/1440</f>
        <v>0.0833333333333333</v>
      </c>
      <c r="E142" s="29" t="n">
        <f aca="false">ROUND('Open Items (Karbon)'!K144*60,0)/1440</f>
        <v>0.166666666666667</v>
      </c>
      <c r="F142" s="30" t="n">
        <f aca="false">ROUND((E142-D142)*24,2)</f>
        <v>2</v>
      </c>
      <c r="G142" s="17"/>
      <c r="H142" s="17"/>
    </row>
    <row r="143" customFormat="false" ht="15" hidden="false" customHeight="false" outlineLevel="0" collapsed="false">
      <c r="A143" s="6" t="s">
        <v>73</v>
      </c>
      <c r="B143" s="7" t="s">
        <v>95</v>
      </c>
      <c r="C143" s="7" t="s">
        <v>96</v>
      </c>
      <c r="D143" s="27" t="n">
        <f aca="false">ROUND('Recurring Budgets'!H105*60,0)/1440</f>
        <v>0.0625</v>
      </c>
      <c r="E143" s="27" t="n">
        <f aca="false">ROUND('Open Items (Karbon)'!K149*60,0)/1440</f>
        <v>0.125</v>
      </c>
      <c r="F143" s="28" t="n">
        <f aca="false">ROUND((E143-D143)*24,2)</f>
        <v>1.5</v>
      </c>
      <c r="G143" s="7"/>
      <c r="H143" s="7"/>
    </row>
    <row r="144" customFormat="false" ht="15" hidden="false" customHeight="false" outlineLevel="0" collapsed="false">
      <c r="A144" s="11"/>
      <c r="B144" s="12" t="s">
        <v>97</v>
      </c>
      <c r="C144" s="12" t="s">
        <v>96</v>
      </c>
      <c r="D144" s="31" t="n">
        <f aca="false">ROUND('Recurring Budgets'!H105*60,0)/1440</f>
        <v>0.0625</v>
      </c>
      <c r="E144" s="31" t="n">
        <f aca="false">ROUND('Open Items (Karbon)'!K148*60,0)/1440</f>
        <v>0.125</v>
      </c>
      <c r="F144" s="32" t="n">
        <f aca="false">ROUND((E144-D144)*24,2)</f>
        <v>1.5</v>
      </c>
      <c r="G144" s="12"/>
      <c r="H144" s="12"/>
    </row>
    <row r="145" customFormat="false" ht="15" hidden="false" customHeight="false" outlineLevel="0" collapsed="false">
      <c r="A145" s="11"/>
      <c r="B145" s="12" t="s">
        <v>98</v>
      </c>
      <c r="C145" s="12" t="s">
        <v>96</v>
      </c>
      <c r="D145" s="31" t="n">
        <f aca="false">ROUND('Recurring Budgets'!H105*60,0)/1440</f>
        <v>0.0625</v>
      </c>
      <c r="E145" s="31" t="n">
        <f aca="false">ROUND('Open Items (Karbon)'!K150*60,0)/1440</f>
        <v>0.125</v>
      </c>
      <c r="F145" s="32" t="n">
        <f aca="false">ROUND((E145-D145)*24,2)</f>
        <v>1.5</v>
      </c>
      <c r="G145" s="12"/>
      <c r="H145" s="12"/>
    </row>
    <row r="146" customFormat="false" ht="15" hidden="false" customHeight="false" outlineLevel="0" collapsed="false">
      <c r="A146" s="11"/>
      <c r="B146" s="12" t="s">
        <v>99</v>
      </c>
      <c r="C146" s="12" t="s">
        <v>96</v>
      </c>
      <c r="D146" s="31" t="n">
        <f aca="false">ROUND('Recurring Budgets'!H105*60,0)/1440</f>
        <v>0.0625</v>
      </c>
      <c r="E146" s="31" t="n">
        <f aca="false">ROUND('Open Items (Karbon)'!K151*60,0)/1440</f>
        <v>0.125</v>
      </c>
      <c r="F146" s="32" t="n">
        <f aca="false">ROUND((E146-D146)*24,2)</f>
        <v>1.5</v>
      </c>
      <c r="G146" s="12"/>
      <c r="H146" s="12"/>
    </row>
    <row r="147" customFormat="false" ht="15" hidden="false" customHeight="false" outlineLevel="0" collapsed="false">
      <c r="A147" s="11"/>
      <c r="B147" s="12" t="s">
        <v>100</v>
      </c>
      <c r="C147" s="12" t="s">
        <v>96</v>
      </c>
      <c r="D147" s="31" t="n">
        <f aca="false">ROUND('Recurring Budgets'!H105*60,0)/1440</f>
        <v>0.0625</v>
      </c>
      <c r="E147" s="31" t="n">
        <f aca="false">ROUND('Open Items (Karbon)'!K155*60,0)/1440</f>
        <v>0.125</v>
      </c>
      <c r="F147" s="32" t="n">
        <f aca="false">ROUND((E147-D147)*24,2)</f>
        <v>1.5</v>
      </c>
      <c r="G147" s="12"/>
      <c r="H147" s="12"/>
    </row>
    <row r="148" customFormat="false" ht="15" hidden="false" customHeight="false" outlineLevel="0" collapsed="false">
      <c r="A148" s="11"/>
      <c r="B148" s="12" t="s">
        <v>101</v>
      </c>
      <c r="C148" s="12" t="s">
        <v>96</v>
      </c>
      <c r="D148" s="31" t="n">
        <f aca="false">ROUND('Recurring Budgets'!H105*60,0)/1440</f>
        <v>0.0625</v>
      </c>
      <c r="E148" s="31" t="n">
        <f aca="false">ROUND('Open Items (Karbon)'!K154*60,0)/1440</f>
        <v>0.125</v>
      </c>
      <c r="F148" s="32" t="n">
        <f aca="false">ROUND((E148-D148)*24,2)</f>
        <v>1.5</v>
      </c>
      <c r="G148" s="12"/>
      <c r="H148" s="12"/>
    </row>
    <row r="149" customFormat="false" ht="15" hidden="false" customHeight="false" outlineLevel="0" collapsed="false">
      <c r="A149" s="11"/>
      <c r="B149" s="12" t="s">
        <v>102</v>
      </c>
      <c r="C149" s="12" t="s">
        <v>96</v>
      </c>
      <c r="D149" s="31" t="n">
        <f aca="false">ROUND('Recurring Budgets'!H105*60,0)/1440</f>
        <v>0.0625</v>
      </c>
      <c r="E149" s="31" t="n">
        <f aca="false">ROUND('Open Items (Karbon)'!K153*60,0)/1440</f>
        <v>0.125</v>
      </c>
      <c r="F149" s="32" t="n">
        <f aca="false">ROUND((E149-D149)*24,2)</f>
        <v>1.5</v>
      </c>
      <c r="G149" s="12"/>
      <c r="H149" s="12"/>
    </row>
    <row r="150" customFormat="false" ht="15" hidden="false" customHeight="false" outlineLevel="0" collapsed="false">
      <c r="A150" s="11"/>
      <c r="B150" s="12" t="s">
        <v>91</v>
      </c>
      <c r="C150" s="12" t="s">
        <v>92</v>
      </c>
      <c r="D150" s="31" t="n">
        <f aca="false">ROUND('Recurring Budgets'!H103*60,0)/1440</f>
        <v>0.0833333333333333</v>
      </c>
      <c r="E150" s="31" t="n">
        <f aca="false">ROUND('Open Items (Karbon)'!K157*60,0)/1440</f>
        <v>0.166666666666667</v>
      </c>
      <c r="F150" s="32" t="n">
        <f aca="false">ROUND((E150-D150)*24,2)</f>
        <v>2</v>
      </c>
      <c r="G150" s="12"/>
      <c r="H150" s="12"/>
    </row>
    <row r="151" customFormat="false" ht="15" hidden="false" customHeight="false" outlineLevel="0" collapsed="false">
      <c r="A151" s="2"/>
      <c r="B151" s="4" t="s">
        <v>103</v>
      </c>
      <c r="C151" s="2"/>
      <c r="D151" s="2"/>
      <c r="E151" s="2"/>
      <c r="F151" s="33" t="n">
        <f aca="false">SUM(F123:F150)</f>
        <v>33.49</v>
      </c>
      <c r="G151" s="2"/>
      <c r="H151" s="2"/>
    </row>
    <row r="152" customFormat="false" ht="15" hidden="false" customHeight="false" outlineLevel="0" collapsed="false">
      <c r="A152" s="2"/>
      <c r="B152" s="2"/>
      <c r="C152" s="2"/>
      <c r="D152" s="2"/>
      <c r="E152" s="2"/>
      <c r="F152" s="2"/>
      <c r="G152" s="2"/>
      <c r="H152" s="2"/>
    </row>
    <row r="153" customFormat="false" ht="15" hidden="false" customHeight="false" outlineLevel="0" collapsed="false">
      <c r="A153" s="4" t="s">
        <v>104</v>
      </c>
      <c r="B153" s="2"/>
      <c r="C153" s="2"/>
      <c r="D153" s="2"/>
      <c r="E153" s="2"/>
      <c r="F153" s="2"/>
      <c r="G153" s="2"/>
      <c r="H153" s="2"/>
    </row>
    <row r="154" customFormat="false" ht="15" hidden="false" customHeight="false" outlineLevel="0" collapsed="false">
      <c r="A154" s="26" t="s">
        <v>105</v>
      </c>
      <c r="B154" s="2"/>
      <c r="C154" s="2"/>
      <c r="D154" s="2"/>
      <c r="E154" s="2"/>
      <c r="F154" s="2"/>
      <c r="G154" s="2"/>
      <c r="H154" s="2"/>
    </row>
    <row r="155" customFormat="false" ht="31.5" hidden="false" customHeight="true" outlineLevel="0" collapsed="false">
      <c r="A155" s="5" t="s">
        <v>3</v>
      </c>
      <c r="B155" s="5" t="s">
        <v>4</v>
      </c>
      <c r="C155" s="5" t="s">
        <v>5</v>
      </c>
      <c r="D155" s="5" t="s">
        <v>6</v>
      </c>
      <c r="E155" s="5" t="s">
        <v>7</v>
      </c>
      <c r="F155" s="5" t="s">
        <v>8</v>
      </c>
      <c r="G155" s="5" t="s">
        <v>9</v>
      </c>
      <c r="H155" s="5" t="s">
        <v>10</v>
      </c>
    </row>
    <row r="156" customFormat="false" ht="15" hidden="false" customHeight="false" outlineLevel="0" collapsed="false">
      <c r="A156" s="6" t="s">
        <v>106</v>
      </c>
      <c r="B156" s="7" t="s">
        <v>107</v>
      </c>
      <c r="C156" s="7" t="s">
        <v>108</v>
      </c>
      <c r="D156" s="8" t="n">
        <f aca="false">ROUND('Open Items (Karbon)'!I30*60,0)/1440</f>
        <v>0.104166666666667</v>
      </c>
      <c r="E156" s="9" t="n">
        <f aca="false">ROUND('Open Items (Karbon)'!I30*IF(H156="CFO",Assumptions!$B$5,Assumptions!$B$4),0)</f>
        <v>238</v>
      </c>
      <c r="F156" s="8" t="n">
        <f aca="false">ROUND('Open Items (Karbon)'!J30*60,0)/1440</f>
        <v>0</v>
      </c>
      <c r="G156" s="9" t="n">
        <f aca="false">ROUND('Open Items (Karbon)'!J30*Assumptions!$B$5,0)</f>
        <v>0</v>
      </c>
      <c r="H156" s="34" t="s">
        <v>109</v>
      </c>
    </row>
    <row r="157" customFormat="false" ht="15" hidden="false" customHeight="false" outlineLevel="0" collapsed="false">
      <c r="A157" s="16" t="s">
        <v>110</v>
      </c>
      <c r="B157" s="17" t="s">
        <v>111</v>
      </c>
      <c r="C157" s="17" t="s">
        <v>108</v>
      </c>
      <c r="D157" s="18" t="n">
        <f aca="false">ROUND('Open Items (Karbon)'!I40*60,0)/1440</f>
        <v>0.0208333333333333</v>
      </c>
      <c r="E157" s="19" t="n">
        <f aca="false">ROUND('Open Items (Karbon)'!I40*IF(H157="CFO",Assumptions!$B$5,Assumptions!$B$4),0)</f>
        <v>48</v>
      </c>
      <c r="F157" s="18" t="n">
        <f aca="false">ROUND('Open Items (Karbon)'!J40*60,0)/1440</f>
        <v>0</v>
      </c>
      <c r="G157" s="19" t="n">
        <f aca="false">ROUND('Open Items (Karbon)'!J40*Assumptions!$B$5,0)</f>
        <v>0</v>
      </c>
      <c r="H157" s="35" t="s">
        <v>109</v>
      </c>
    </row>
    <row r="158" customFormat="false" ht="15" hidden="false" customHeight="false" outlineLevel="0" collapsed="false">
      <c r="A158" s="21"/>
      <c r="B158" s="22" t="s">
        <v>112</v>
      </c>
      <c r="C158" s="22" t="s">
        <v>108</v>
      </c>
      <c r="D158" s="23" t="n">
        <f aca="false">ROUND('Open Items (Karbon)'!I41*60,0)/1440</f>
        <v>0.0208333333333333</v>
      </c>
      <c r="E158" s="24" t="n">
        <f aca="false">ROUND('Open Items (Karbon)'!I41*IF(H158="CFO",Assumptions!$B$5,Assumptions!$B$4),0)</f>
        <v>48</v>
      </c>
      <c r="F158" s="23" t="n">
        <f aca="false">ROUND('Open Items (Karbon)'!J41*60,0)/1440</f>
        <v>0</v>
      </c>
      <c r="G158" s="24" t="n">
        <f aca="false">ROUND('Open Items (Karbon)'!J41*Assumptions!$B$5,0)</f>
        <v>0</v>
      </c>
      <c r="H158" s="36" t="s">
        <v>109</v>
      </c>
    </row>
    <row r="159" customFormat="false" ht="15" hidden="false" customHeight="false" outlineLevel="0" collapsed="false">
      <c r="A159" s="6" t="s">
        <v>36</v>
      </c>
      <c r="B159" s="7" t="s">
        <v>113</v>
      </c>
      <c r="C159" s="7" t="s">
        <v>108</v>
      </c>
      <c r="D159" s="8" t="n">
        <f aca="false">ROUND('Open Items (Karbon)'!I42*60,0)/1440</f>
        <v>0.416666666666667</v>
      </c>
      <c r="E159" s="9" t="n">
        <f aca="false">ROUND('Open Items (Karbon)'!I42*IF(H159="CFO",Assumptions!$B$5,Assumptions!$B$4),0)</f>
        <v>950</v>
      </c>
      <c r="F159" s="8" t="n">
        <f aca="false">ROUND('Open Items (Karbon)'!J42*60,0)/1440</f>
        <v>0</v>
      </c>
      <c r="G159" s="9" t="n">
        <f aca="false">ROUND('Open Items (Karbon)'!J42*Assumptions!$B$5,0)</f>
        <v>0</v>
      </c>
      <c r="H159" s="34" t="s">
        <v>109</v>
      </c>
    </row>
    <row r="160" customFormat="false" ht="15" hidden="false" customHeight="false" outlineLevel="0" collapsed="false">
      <c r="A160" s="16" t="s">
        <v>37</v>
      </c>
      <c r="B160" s="17" t="s">
        <v>114</v>
      </c>
      <c r="C160" s="17" t="s">
        <v>108</v>
      </c>
      <c r="D160" s="18" t="n">
        <f aca="false">ROUND('Open Items (Karbon)'!I45*60,0)/1440</f>
        <v>0.229166666666667</v>
      </c>
      <c r="E160" s="19" t="n">
        <f aca="false">ROUND('Open Items (Karbon)'!I45*IF(H160="CFO",Assumptions!$B$5,Assumptions!$B$4),0)</f>
        <v>523</v>
      </c>
      <c r="F160" s="18" t="n">
        <f aca="false">ROUND('Open Items (Karbon)'!J45*60,0)/1440</f>
        <v>0</v>
      </c>
      <c r="G160" s="19" t="n">
        <f aca="false">ROUND('Open Items (Karbon)'!J45*Assumptions!$B$5,0)</f>
        <v>0</v>
      </c>
      <c r="H160" s="35" t="s">
        <v>109</v>
      </c>
    </row>
    <row r="161" customFormat="false" ht="15" hidden="false" customHeight="false" outlineLevel="0" collapsed="false">
      <c r="A161" s="6" t="s">
        <v>43</v>
      </c>
      <c r="B161" s="7" t="s">
        <v>115</v>
      </c>
      <c r="C161" s="7" t="s">
        <v>108</v>
      </c>
      <c r="D161" s="8" t="n">
        <f aca="false">ROUND('Open Items (Karbon)'!I60*60,0)/1440</f>
        <v>0.333333333333333</v>
      </c>
      <c r="E161" s="9" t="n">
        <f aca="false">ROUND('Open Items (Karbon)'!I60*IF(H161="CFO",Assumptions!$B$5,Assumptions!$B$4),0)</f>
        <v>760</v>
      </c>
      <c r="F161" s="8" t="n">
        <f aca="false">ROUND('Open Items (Karbon)'!J60*60,0)/1440</f>
        <v>0</v>
      </c>
      <c r="G161" s="9" t="n">
        <f aca="false">ROUND('Open Items (Karbon)'!J60*Assumptions!$B$5,0)</f>
        <v>0</v>
      </c>
      <c r="H161" s="34" t="s">
        <v>109</v>
      </c>
    </row>
    <row r="162" customFormat="false" ht="15" hidden="false" customHeight="false" outlineLevel="0" collapsed="false">
      <c r="A162" s="16" t="s">
        <v>45</v>
      </c>
      <c r="B162" s="17" t="s">
        <v>116</v>
      </c>
      <c r="C162" s="17" t="s">
        <v>108</v>
      </c>
      <c r="D162" s="18" t="n">
        <f aca="false">ROUND('Open Items (Karbon)'!I65*60,0)/1440</f>
        <v>0.125</v>
      </c>
      <c r="E162" s="19" t="n">
        <f aca="false">ROUND('Open Items (Karbon)'!I65*IF(H162="CFO",Assumptions!$B$5,Assumptions!$B$4),0)</f>
        <v>285</v>
      </c>
      <c r="F162" s="18" t="n">
        <f aca="false">ROUND('Open Items (Karbon)'!J65*60,0)/1440</f>
        <v>0</v>
      </c>
      <c r="G162" s="19" t="n">
        <f aca="false">ROUND('Open Items (Karbon)'!J65*Assumptions!$B$5,0)</f>
        <v>0</v>
      </c>
      <c r="H162" s="35" t="s">
        <v>109</v>
      </c>
    </row>
    <row r="163" customFormat="false" ht="15" hidden="false" customHeight="false" outlineLevel="0" collapsed="false">
      <c r="A163" s="6" t="s">
        <v>117</v>
      </c>
      <c r="B163" s="7" t="s">
        <v>118</v>
      </c>
      <c r="C163" s="7" t="s">
        <v>108</v>
      </c>
      <c r="D163" s="8" t="n">
        <f aca="false">ROUND('Open Items (Karbon)'!I89*60,0)/1440</f>
        <v>0.229166666666667</v>
      </c>
      <c r="E163" s="9" t="n">
        <f aca="false">ROUND('Open Items (Karbon)'!I89*IF(H163="CFO",Assumptions!$B$5,Assumptions!$B$4),0)</f>
        <v>523</v>
      </c>
      <c r="F163" s="8" t="n">
        <f aca="false">ROUND('Open Items (Karbon)'!J89*60,0)/1440</f>
        <v>0</v>
      </c>
      <c r="G163" s="9" t="n">
        <f aca="false">ROUND('Open Items (Karbon)'!J89*Assumptions!$B$5,0)</f>
        <v>0</v>
      </c>
      <c r="H163" s="34" t="s">
        <v>109</v>
      </c>
    </row>
    <row r="164" customFormat="false" ht="15" hidden="false" customHeight="false" outlineLevel="0" collapsed="false">
      <c r="A164" s="16" t="s">
        <v>54</v>
      </c>
      <c r="B164" s="17" t="s">
        <v>119</v>
      </c>
      <c r="C164" s="17" t="s">
        <v>108</v>
      </c>
      <c r="D164" s="18" t="n">
        <f aca="false">ROUND('Open Items (Karbon)'!I103*60,0)/1440</f>
        <v>0.333333333333333</v>
      </c>
      <c r="E164" s="19" t="n">
        <f aca="false">ROUND('Open Items (Karbon)'!I103*IF(H164="CFO",Assumptions!$B$5,Assumptions!$B$4),0)</f>
        <v>760</v>
      </c>
      <c r="F164" s="18" t="n">
        <f aca="false">ROUND('Open Items (Karbon)'!J103*60,0)/1440</f>
        <v>0.0208333333333333</v>
      </c>
      <c r="G164" s="19" t="n">
        <f aca="false">ROUND('Open Items (Karbon)'!J103*Assumptions!$B$5,0)</f>
        <v>125</v>
      </c>
      <c r="H164" s="35" t="s">
        <v>109</v>
      </c>
    </row>
    <row r="165" customFormat="false" ht="15" hidden="false" customHeight="false" outlineLevel="0" collapsed="false">
      <c r="A165" s="21"/>
      <c r="B165" s="22" t="s">
        <v>120</v>
      </c>
      <c r="C165" s="22" t="s">
        <v>108</v>
      </c>
      <c r="D165" s="23" t="n">
        <f aca="false">ROUND('Open Items (Karbon)'!I104*60,0)/1440</f>
        <v>0.416666666666667</v>
      </c>
      <c r="E165" s="24" t="n">
        <f aca="false">ROUND('Open Items (Karbon)'!I104*IF(H165="CFO",Assumptions!$B$5,Assumptions!$B$4),0)</f>
        <v>950</v>
      </c>
      <c r="F165" s="23" t="n">
        <f aca="false">ROUND('Open Items (Karbon)'!J104*60,0)/1440</f>
        <v>0</v>
      </c>
      <c r="G165" s="24" t="n">
        <f aca="false">ROUND('Open Items (Karbon)'!J104*Assumptions!$B$5,0)</f>
        <v>0</v>
      </c>
      <c r="H165" s="36" t="s">
        <v>109</v>
      </c>
    </row>
    <row r="166" customFormat="false" ht="15" hidden="false" customHeight="false" outlineLevel="0" collapsed="false">
      <c r="A166" s="6" t="s">
        <v>64</v>
      </c>
      <c r="B166" s="7" t="s">
        <v>121</v>
      </c>
      <c r="C166" s="7" t="s">
        <v>108</v>
      </c>
      <c r="D166" s="8" t="n">
        <f aca="false">ROUND('Open Items (Karbon)'!I118*60,0)/1440</f>
        <v>0.229166666666667</v>
      </c>
      <c r="E166" s="9" t="n">
        <f aca="false">ROUND('Open Items (Karbon)'!I118*IF(H166="CFO",Assumptions!$B$5,Assumptions!$B$4),0)</f>
        <v>523</v>
      </c>
      <c r="F166" s="8" t="n">
        <f aca="false">ROUND('Open Items (Karbon)'!J118*60,0)/1440</f>
        <v>0</v>
      </c>
      <c r="G166" s="9" t="n">
        <f aca="false">ROUND('Open Items (Karbon)'!J118*Assumptions!$B$5,0)</f>
        <v>0</v>
      </c>
      <c r="H166" s="34" t="s">
        <v>109</v>
      </c>
    </row>
    <row r="167" customFormat="false" ht="15" hidden="false" customHeight="false" outlineLevel="0" collapsed="false">
      <c r="A167" s="16" t="s">
        <v>68</v>
      </c>
      <c r="B167" s="17" t="s">
        <v>122</v>
      </c>
      <c r="C167" s="17" t="s">
        <v>108</v>
      </c>
      <c r="D167" s="18" t="n">
        <f aca="false">ROUND('Open Items (Karbon)'!I124*60,0)/1440</f>
        <v>0.166666666666667</v>
      </c>
      <c r="E167" s="19" t="n">
        <f aca="false">ROUND('Open Items (Karbon)'!I124*IF(H167="CFO",Assumptions!$B$5,Assumptions!$B$4),0)</f>
        <v>380</v>
      </c>
      <c r="F167" s="18" t="n">
        <f aca="false">ROUND('Open Items (Karbon)'!J124*60,0)/1440</f>
        <v>0</v>
      </c>
      <c r="G167" s="19" t="n">
        <f aca="false">ROUND('Open Items (Karbon)'!J124*Assumptions!$B$5,0)</f>
        <v>0</v>
      </c>
      <c r="H167" s="35" t="s">
        <v>109</v>
      </c>
    </row>
    <row r="168" customFormat="false" ht="15" hidden="false" customHeight="false" outlineLevel="0" collapsed="false">
      <c r="A168" s="6" t="s">
        <v>76</v>
      </c>
      <c r="B168" s="7" t="s">
        <v>123</v>
      </c>
      <c r="C168" s="7" t="s">
        <v>108</v>
      </c>
      <c r="D168" s="8" t="n">
        <f aca="false">ROUND('Open Items (Karbon)'!I166*60,0)/1440</f>
        <v>0.145833333333333</v>
      </c>
      <c r="E168" s="9" t="n">
        <f aca="false">ROUND('Open Items (Karbon)'!I166*IF(H168="CFO",Assumptions!$B$5,Assumptions!$B$4),0)</f>
        <v>333</v>
      </c>
      <c r="F168" s="8" t="n">
        <f aca="false">ROUND('Open Items (Karbon)'!J166*60,0)/1440</f>
        <v>0</v>
      </c>
      <c r="G168" s="9" t="n">
        <f aca="false">ROUND('Open Items (Karbon)'!J166*Assumptions!$B$5,0)</f>
        <v>0</v>
      </c>
      <c r="H168" s="34" t="s">
        <v>109</v>
      </c>
    </row>
    <row r="169" customFormat="false" ht="15" hidden="false" customHeight="false" outlineLevel="0" collapsed="false">
      <c r="A169" s="16" t="s">
        <v>82</v>
      </c>
      <c r="B169" s="17" t="s">
        <v>123</v>
      </c>
      <c r="C169" s="17" t="s">
        <v>108</v>
      </c>
      <c r="D169" s="18" t="n">
        <f aca="false">ROUND('Open Items (Karbon)'!I178*60,0)/1440</f>
        <v>0.145833333333333</v>
      </c>
      <c r="E169" s="19" t="n">
        <f aca="false">ROUND('Open Items (Karbon)'!I178*IF(H169="CFO",Assumptions!$B$5,Assumptions!$B$4),0)</f>
        <v>333</v>
      </c>
      <c r="F169" s="18" t="n">
        <f aca="false">ROUND('Open Items (Karbon)'!J178*60,0)/1440</f>
        <v>0</v>
      </c>
      <c r="G169" s="19" t="n">
        <f aca="false">ROUND('Open Items (Karbon)'!J178*Assumptions!$B$5,0)</f>
        <v>0</v>
      </c>
      <c r="H169" s="35" t="s">
        <v>109</v>
      </c>
    </row>
    <row r="170" customFormat="false" ht="15" hidden="false" customHeight="false" outlineLevel="0" collapsed="false">
      <c r="A170" s="2"/>
      <c r="B170" s="2"/>
      <c r="C170" s="2"/>
      <c r="D170" s="2"/>
      <c r="E170" s="2"/>
      <c r="F170" s="2"/>
      <c r="G170" s="2"/>
      <c r="H170" s="2"/>
    </row>
    <row r="171" customFormat="false" ht="15" hidden="false" customHeight="false" outlineLevel="0" collapsed="false">
      <c r="A171" s="2"/>
      <c r="B171" s="2"/>
      <c r="C171" s="2"/>
      <c r="D171" s="2"/>
      <c r="E171" s="2"/>
      <c r="F171" s="2"/>
      <c r="G171" s="2"/>
      <c r="H171" s="2"/>
    </row>
    <row r="172" customFormat="false" ht="15" hidden="false" customHeight="false" outlineLevel="0" collapsed="false">
      <c r="A172" s="3" t="s">
        <v>124</v>
      </c>
      <c r="B172" s="2"/>
      <c r="C172" s="2"/>
      <c r="D172" s="2"/>
      <c r="E172" s="2"/>
      <c r="F172" s="2"/>
      <c r="G172" s="2"/>
      <c r="H17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0"/>
  </cols>
  <sheetData>
    <row r="1" customFormat="false" ht="17.35" hidden="false" customHeight="false" outlineLevel="0" collapsed="false">
      <c r="A1" s="1" t="s">
        <v>125</v>
      </c>
    </row>
    <row r="2" customFormat="false" ht="15" hidden="false" customHeight="false" outlineLevel="0" collapsed="false">
      <c r="A2" s="37" t="s">
        <v>126</v>
      </c>
    </row>
    <row r="3" customFormat="false" ht="15" hidden="false" customHeight="false" outlineLevel="0" collapsed="false">
      <c r="A3" s="37" t="s">
        <v>127</v>
      </c>
    </row>
    <row r="4" customFormat="false" ht="15" hidden="false" customHeight="false" outlineLevel="0" collapsed="false">
      <c r="A4" s="37"/>
    </row>
    <row r="5" customFormat="false" ht="15" hidden="false" customHeight="false" outlineLevel="0" collapsed="false">
      <c r="A5" s="4" t="s">
        <v>128</v>
      </c>
    </row>
    <row r="6" customFormat="false" ht="15" hidden="false" customHeight="false" outlineLevel="0" collapsed="false">
      <c r="A6" s="37" t="s">
        <v>129</v>
      </c>
    </row>
    <row r="7" customFormat="false" ht="15" hidden="false" customHeight="false" outlineLevel="0" collapsed="false">
      <c r="A7" s="37" t="s">
        <v>130</v>
      </c>
    </row>
    <row r="8" customFormat="false" ht="15" hidden="false" customHeight="false" outlineLevel="0" collapsed="false">
      <c r="A8" s="37" t="s">
        <v>131</v>
      </c>
    </row>
    <row r="9" customFormat="false" ht="15" hidden="false" customHeight="false" outlineLevel="0" collapsed="false">
      <c r="A9" s="37"/>
    </row>
    <row r="10" customFormat="false" ht="15" hidden="false" customHeight="false" outlineLevel="0" collapsed="false">
      <c r="A10" s="4" t="s">
        <v>132</v>
      </c>
    </row>
    <row r="11" customFormat="false" ht="15" hidden="false" customHeight="false" outlineLevel="0" collapsed="false">
      <c r="A11" s="37" t="s">
        <v>133</v>
      </c>
    </row>
    <row r="12" customFormat="false" ht="15" hidden="false" customHeight="false" outlineLevel="0" collapsed="false">
      <c r="A12" s="37" t="s">
        <v>134</v>
      </c>
    </row>
    <row r="13" customFormat="false" ht="15" hidden="false" customHeight="false" outlineLevel="0" collapsed="false">
      <c r="A13" s="37" t="s">
        <v>135</v>
      </c>
    </row>
    <row r="14" customFormat="false" ht="15" hidden="false" customHeight="false" outlineLevel="0" collapsed="false">
      <c r="A14" s="37" t="s">
        <v>136</v>
      </c>
    </row>
    <row r="15" customFormat="false" ht="15" hidden="false" customHeight="false" outlineLevel="0" collapsed="false">
      <c r="A15" s="37" t="s">
        <v>137</v>
      </c>
    </row>
    <row r="16" customFormat="false" ht="15" hidden="false" customHeight="false" outlineLevel="0" collapsed="false">
      <c r="A16" s="37" t="s">
        <v>138</v>
      </c>
    </row>
    <row r="17" customFormat="false" ht="15" hidden="false" customHeight="false" outlineLevel="0" collapsed="false">
      <c r="A17" s="37" t="s">
        <v>139</v>
      </c>
    </row>
    <row r="18" customFormat="false" ht="15" hidden="false" customHeight="false" outlineLevel="0" collapsed="false">
      <c r="A18" s="37" t="s">
        <v>140</v>
      </c>
    </row>
    <row r="19" customFormat="false" ht="15" hidden="false" customHeight="false" outlineLevel="0" collapsed="false">
      <c r="A19" s="37"/>
    </row>
    <row r="20" customFormat="false" ht="15" hidden="false" customHeight="false" outlineLevel="0" collapsed="false">
      <c r="A20" s="4" t="s">
        <v>141</v>
      </c>
    </row>
    <row r="21" customFormat="false" ht="15" hidden="false" customHeight="false" outlineLevel="0" collapsed="false">
      <c r="A21" s="38" t="s">
        <v>142</v>
      </c>
    </row>
    <row r="22" customFormat="false" ht="15" hidden="false" customHeight="false" outlineLevel="0" collapsed="false">
      <c r="A22" s="37" t="s">
        <v>143</v>
      </c>
    </row>
    <row r="23" customFormat="false" ht="15" hidden="false" customHeight="false" outlineLevel="0" collapsed="false">
      <c r="A23" s="39" t="s">
        <v>144</v>
      </c>
    </row>
    <row r="24" customFormat="false" ht="15" hidden="false" customHeight="false" outlineLevel="0" collapsed="false">
      <c r="A24" s="37"/>
    </row>
    <row r="25" customFormat="false" ht="15" hidden="false" customHeight="false" outlineLevel="0" collapsed="false">
      <c r="A25" s="4" t="s">
        <v>145</v>
      </c>
    </row>
    <row r="26" customFormat="false" ht="15" hidden="false" customHeight="false" outlineLevel="0" collapsed="false">
      <c r="A26" s="37" t="s">
        <v>146</v>
      </c>
    </row>
    <row r="27" customFormat="false" ht="15" hidden="false" customHeight="false" outlineLevel="0" collapsed="false">
      <c r="A27" s="37" t="s">
        <v>147</v>
      </c>
    </row>
    <row r="28" customFormat="false" ht="15" hidden="false" customHeight="false" outlineLevel="0" collapsed="false">
      <c r="A28" s="37" t="s">
        <v>148</v>
      </c>
    </row>
    <row r="29" customFormat="false" ht="15" hidden="false" customHeight="false" outlineLevel="0" collapsed="false">
      <c r="A29" s="37" t="s">
        <v>149</v>
      </c>
    </row>
    <row r="30" customFormat="false" ht="15" hidden="false" customHeight="false" outlineLevel="0" collapsed="false">
      <c r="A30" s="37" t="s">
        <v>150</v>
      </c>
    </row>
    <row r="31" customFormat="false" ht="15" hidden="false" customHeight="false" outlineLevel="0" collapsed="false">
      <c r="A31" s="37" t="s">
        <v>151</v>
      </c>
    </row>
    <row r="32" customFormat="false" ht="15" hidden="false" customHeight="false" outlineLevel="0" collapsed="false">
      <c r="A32" s="37"/>
    </row>
    <row r="33" customFormat="false" ht="15" hidden="false" customHeight="false" outlineLevel="0" collapsed="false">
      <c r="A33" s="4" t="s">
        <v>152</v>
      </c>
    </row>
    <row r="34" customFormat="false" ht="15" hidden="false" customHeight="false" outlineLevel="0" collapsed="false">
      <c r="A34" s="37" t="s">
        <v>153</v>
      </c>
    </row>
    <row r="35" customFormat="false" ht="15" hidden="false" customHeight="false" outlineLevel="0" collapsed="false">
      <c r="A35" s="37" t="s">
        <v>154</v>
      </c>
    </row>
    <row r="36" customFormat="false" ht="15" hidden="false" customHeight="false" outlineLevel="0" collapsed="false">
      <c r="A36" s="37" t="s">
        <v>155</v>
      </c>
    </row>
    <row r="37" customFormat="false" ht="15" hidden="false" customHeight="false" outlineLevel="0" collapsed="false">
      <c r="A37" s="37" t="s">
        <v>156</v>
      </c>
    </row>
    <row r="38" customFormat="false" ht="15" hidden="false" customHeight="false" outlineLevel="0" collapsed="false">
      <c r="A38" s="37" t="s">
        <v>157</v>
      </c>
    </row>
    <row r="39" customFormat="false" ht="15" hidden="false" customHeight="false" outlineLevel="0" collapsed="false">
      <c r="A39" s="37" t="s">
        <v>158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3" min="3" style="0" width="95"/>
  </cols>
  <sheetData>
    <row r="1" customFormat="false" ht="16.15" hidden="false" customHeight="false" outlineLevel="0" collapsed="false">
      <c r="A1" s="40" t="s">
        <v>159</v>
      </c>
      <c r="B1" s="2"/>
      <c r="C1" s="2"/>
    </row>
    <row r="2" customFormat="false" ht="15" hidden="false" customHeight="false" outlineLevel="0" collapsed="false">
      <c r="A2" s="2"/>
      <c r="B2" s="2"/>
      <c r="C2" s="2"/>
    </row>
    <row r="3" customFormat="false" ht="15" hidden="false" customHeight="false" outlineLevel="0" collapsed="false">
      <c r="A3" s="4" t="s">
        <v>160</v>
      </c>
      <c r="B3" s="2"/>
      <c r="C3" s="41"/>
    </row>
    <row r="4" customFormat="false" ht="15" hidden="false" customHeight="false" outlineLevel="0" collapsed="false">
      <c r="A4" s="37" t="s">
        <v>161</v>
      </c>
      <c r="B4" s="42" t="n">
        <v>95</v>
      </c>
      <c r="C4" s="41" t="s">
        <v>162</v>
      </c>
    </row>
    <row r="5" customFormat="false" ht="15" hidden="false" customHeight="false" outlineLevel="0" collapsed="false">
      <c r="A5" s="37" t="s">
        <v>163</v>
      </c>
      <c r="B5" s="42" t="n">
        <v>250</v>
      </c>
      <c r="C5" s="41" t="s">
        <v>164</v>
      </c>
    </row>
    <row r="6" customFormat="false" ht="15" hidden="false" customHeight="false" outlineLevel="0" collapsed="false">
      <c r="A6" s="2"/>
      <c r="B6" s="2"/>
      <c r="C6" s="2"/>
    </row>
    <row r="7" customFormat="false" ht="15" hidden="false" customHeight="false" outlineLevel="0" collapsed="false">
      <c r="A7" s="4" t="s">
        <v>165</v>
      </c>
      <c r="B7" s="2"/>
      <c r="C7" s="41"/>
    </row>
    <row r="8" customFormat="false" ht="15" hidden="false" customHeight="false" outlineLevel="0" collapsed="false">
      <c r="A8" s="37" t="s">
        <v>15</v>
      </c>
      <c r="B8" s="43" t="n">
        <v>1</v>
      </c>
      <c r="C8" s="41"/>
    </row>
    <row r="9" customFormat="false" ht="15" hidden="false" customHeight="false" outlineLevel="0" collapsed="false">
      <c r="A9" s="37" t="s">
        <v>13</v>
      </c>
      <c r="B9" s="44" t="n">
        <v>0.333333333333333</v>
      </c>
      <c r="C9" s="41" t="s">
        <v>166</v>
      </c>
    </row>
    <row r="10" customFormat="false" ht="15" hidden="false" customHeight="false" outlineLevel="0" collapsed="false">
      <c r="A10" s="37" t="s">
        <v>30</v>
      </c>
      <c r="B10" s="44" t="n">
        <v>4.33333333333333</v>
      </c>
      <c r="C10" s="41" t="s">
        <v>167</v>
      </c>
    </row>
    <row r="11" customFormat="false" ht="15" hidden="false" customHeight="false" outlineLevel="0" collapsed="false">
      <c r="A11" s="37" t="s">
        <v>56</v>
      </c>
      <c r="B11" s="44" t="n">
        <v>2.16666666666667</v>
      </c>
      <c r="C11" s="41" t="s">
        <v>168</v>
      </c>
    </row>
    <row r="12" customFormat="false" ht="15" hidden="false" customHeight="false" outlineLevel="0" collapsed="false">
      <c r="A12" s="37" t="s">
        <v>66</v>
      </c>
      <c r="B12" s="44" t="n">
        <v>30.4166666666667</v>
      </c>
      <c r="C12" s="41" t="s">
        <v>169</v>
      </c>
    </row>
    <row r="13" customFormat="false" ht="15" hidden="false" customHeight="false" outlineLevel="0" collapsed="false">
      <c r="A13" s="37" t="s">
        <v>21</v>
      </c>
      <c r="B13" s="44" t="n">
        <v>0.0833333333333333</v>
      </c>
      <c r="C13" s="41"/>
    </row>
    <row r="14" customFormat="false" ht="15" hidden="false" customHeight="false" outlineLevel="0" collapsed="false">
      <c r="A14" s="37" t="s">
        <v>170</v>
      </c>
      <c r="B14" s="44" t="n">
        <v>0.333333333333333</v>
      </c>
      <c r="C14" s="41" t="s">
        <v>171</v>
      </c>
    </row>
    <row r="15" customFormat="false" ht="15" hidden="false" customHeight="false" outlineLevel="0" collapsed="false">
      <c r="A15" s="2"/>
      <c r="B15" s="2"/>
      <c r="C15" s="2"/>
    </row>
    <row r="16" customFormat="false" ht="15" hidden="false" customHeight="false" outlineLevel="0" collapsed="false">
      <c r="A16" s="4" t="s">
        <v>172</v>
      </c>
      <c r="B16" s="2"/>
      <c r="C16" s="41"/>
    </row>
    <row r="17" customFormat="false" ht="15" hidden="false" customHeight="false" outlineLevel="0" collapsed="false">
      <c r="A17" s="37" t="s">
        <v>173</v>
      </c>
      <c r="B17" s="44" t="n">
        <v>0.75</v>
      </c>
      <c r="C17" s="41" t="s">
        <v>174</v>
      </c>
    </row>
    <row r="18" customFormat="false" ht="15" hidden="false" customHeight="false" outlineLevel="0" collapsed="false">
      <c r="A18" s="37" t="s">
        <v>175</v>
      </c>
      <c r="B18" s="44" t="n">
        <v>1.5</v>
      </c>
      <c r="C18" s="41" t="s">
        <v>176</v>
      </c>
    </row>
    <row r="19" customFormat="false" ht="15" hidden="false" customHeight="false" outlineLevel="0" collapsed="false">
      <c r="A19" s="37" t="s">
        <v>177</v>
      </c>
      <c r="B19" s="44" t="n">
        <v>4</v>
      </c>
      <c r="C19" s="41" t="s">
        <v>178</v>
      </c>
    </row>
    <row r="20" customFormat="false" ht="15" hidden="false" customHeight="false" outlineLevel="0" collapsed="false">
      <c r="A20" s="37" t="s">
        <v>179</v>
      </c>
      <c r="B20" s="44" t="n">
        <v>2.5</v>
      </c>
      <c r="C20" s="41" t="s">
        <v>180</v>
      </c>
    </row>
    <row r="21" customFormat="false" ht="15" hidden="false" customHeight="false" outlineLevel="0" collapsed="false">
      <c r="A21" s="2"/>
      <c r="B21" s="2"/>
      <c r="C21" s="2"/>
    </row>
    <row r="22" customFormat="false" ht="15" hidden="false" customHeight="false" outlineLevel="0" collapsed="false">
      <c r="A22" s="4" t="s">
        <v>181</v>
      </c>
      <c r="B22" s="2"/>
      <c r="C22" s="41"/>
    </row>
    <row r="23" customFormat="false" ht="15" hidden="false" customHeight="false" outlineLevel="0" collapsed="false">
      <c r="A23" s="37" t="s">
        <v>182</v>
      </c>
      <c r="B23" s="44" t="n">
        <v>0.5</v>
      </c>
      <c r="C23" s="41" t="s">
        <v>183</v>
      </c>
    </row>
    <row r="24" customFormat="false" ht="15" hidden="false" customHeight="false" outlineLevel="0" collapsed="false">
      <c r="A24" s="37" t="s">
        <v>184</v>
      </c>
      <c r="B24" s="44" t="n">
        <v>0.5</v>
      </c>
      <c r="C24" s="41" t="s">
        <v>185</v>
      </c>
    </row>
    <row r="25" customFormat="false" ht="15" hidden="false" customHeight="false" outlineLevel="0" collapsed="false">
      <c r="A25" s="37" t="s">
        <v>186</v>
      </c>
      <c r="B25" s="44" t="n">
        <v>1</v>
      </c>
      <c r="C25" s="41" t="s">
        <v>187</v>
      </c>
    </row>
    <row r="26" customFormat="false" ht="15" hidden="false" customHeight="false" outlineLevel="0" collapsed="false">
      <c r="A26" s="37" t="s">
        <v>188</v>
      </c>
      <c r="B26" s="43" t="n">
        <v>0</v>
      </c>
      <c r="C26" s="41"/>
    </row>
    <row r="27" customFormat="false" ht="15" hidden="false" customHeight="false" outlineLevel="0" collapsed="false">
      <c r="A27" s="37" t="s">
        <v>189</v>
      </c>
      <c r="B27" s="43" t="n">
        <v>0</v>
      </c>
      <c r="C27" s="41" t="s">
        <v>190</v>
      </c>
    </row>
    <row r="28" customFormat="false" ht="15" hidden="false" customHeight="false" outlineLevel="0" collapsed="false">
      <c r="A28" s="2"/>
      <c r="B28" s="2"/>
      <c r="C28" s="2"/>
    </row>
    <row r="29" customFormat="false" ht="15" hidden="false" customHeight="false" outlineLevel="0" collapsed="false">
      <c r="A29" s="37" t="s">
        <v>191</v>
      </c>
      <c r="B29" s="44" t="n">
        <v>0.5</v>
      </c>
      <c r="C29" s="41" t="s">
        <v>192</v>
      </c>
    </row>
    <row r="30" customFormat="false" ht="15" hidden="false" customHeight="false" outlineLevel="0" collapsed="false">
      <c r="A30" s="2"/>
      <c r="B30" s="2"/>
      <c r="C30" s="2"/>
    </row>
    <row r="31" customFormat="false" ht="15" hidden="false" customHeight="false" outlineLevel="0" collapsed="false">
      <c r="A31" s="4" t="s">
        <v>193</v>
      </c>
      <c r="B31" s="2"/>
      <c r="C31" s="41"/>
    </row>
    <row r="32" customFormat="false" ht="15" hidden="false" customHeight="false" outlineLevel="0" collapsed="false">
      <c r="A32" s="37" t="s">
        <v>194</v>
      </c>
      <c r="B32" s="43" t="n">
        <v>25</v>
      </c>
      <c r="C32" s="41" t="s">
        <v>195</v>
      </c>
    </row>
    <row r="33" customFormat="false" ht="15" hidden="false" customHeight="false" outlineLevel="0" collapsed="false">
      <c r="A33" s="37" t="s">
        <v>196</v>
      </c>
      <c r="B33" s="43" t="n">
        <v>10</v>
      </c>
      <c r="C33" s="41" t="s">
        <v>197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22"/>
    <col collapsed="false" customWidth="true" hidden="false" outlineLevel="0" max="4" min="4" style="0" width="14"/>
    <col collapsed="false" customWidth="true" hidden="false" outlineLevel="0" max="5" min="5" style="0" width="12"/>
    <col collapsed="false" customWidth="true" hidden="false" outlineLevel="0" max="8" min="6" style="0" width="14"/>
    <col collapsed="false" customWidth="true" hidden="false" outlineLevel="0" max="9" min="9" style="0" width="16"/>
    <col collapsed="false" customWidth="true" hidden="false" outlineLevel="0" max="10" min="10" style="0" width="70"/>
  </cols>
  <sheetData>
    <row r="1" customFormat="false" ht="16.15" hidden="false" customHeight="false" outlineLevel="0" collapsed="false">
      <c r="A1" s="40" t="s">
        <v>198</v>
      </c>
      <c r="B1" s="2"/>
      <c r="C1" s="2"/>
      <c r="D1" s="2"/>
      <c r="E1" s="2"/>
      <c r="F1" s="2"/>
      <c r="G1" s="2"/>
      <c r="H1" s="2"/>
      <c r="I1" s="2"/>
      <c r="J1" s="2"/>
    </row>
    <row r="2" customFormat="false" ht="15" hidden="false" customHeight="false" outlineLevel="0" collapsed="false">
      <c r="A2" s="3" t="s">
        <v>199</v>
      </c>
      <c r="B2" s="2"/>
      <c r="C2" s="2"/>
      <c r="D2" s="2"/>
      <c r="E2" s="2"/>
      <c r="F2" s="2"/>
      <c r="G2" s="2"/>
      <c r="H2" s="2"/>
      <c r="I2" s="2"/>
      <c r="J2" s="2"/>
    </row>
    <row r="3" customFormat="false" ht="15" hidden="false" customHeight="false" outlineLevel="0" collapsed="false">
      <c r="A3" s="2"/>
      <c r="B3" s="2"/>
      <c r="C3" s="2"/>
      <c r="D3" s="2"/>
      <c r="E3" s="2"/>
      <c r="F3" s="2"/>
      <c r="G3" s="2"/>
      <c r="H3" s="2"/>
      <c r="I3" s="2"/>
      <c r="J3" s="2"/>
    </row>
    <row r="4" customFormat="false" ht="31.5" hidden="false" customHeight="true" outlineLevel="0" collapsed="false">
      <c r="A4" s="5" t="s">
        <v>3</v>
      </c>
      <c r="B4" s="5" t="s">
        <v>200</v>
      </c>
      <c r="C4" s="5" t="s">
        <v>201</v>
      </c>
      <c r="D4" s="5" t="s">
        <v>202</v>
      </c>
      <c r="E4" s="5" t="s">
        <v>203</v>
      </c>
      <c r="F4" s="5" t="s">
        <v>204</v>
      </c>
      <c r="G4" s="5" t="s">
        <v>205</v>
      </c>
      <c r="H4" s="5" t="s">
        <v>206</v>
      </c>
      <c r="I4" s="5" t="s">
        <v>207</v>
      </c>
      <c r="J4" s="5" t="s">
        <v>208</v>
      </c>
    </row>
    <row r="5" customFormat="false" ht="15" hidden="false" customHeight="false" outlineLevel="0" collapsed="false">
      <c r="A5" s="37" t="s">
        <v>11</v>
      </c>
      <c r="B5" s="38" t="s">
        <v>179</v>
      </c>
      <c r="C5" s="38" t="s">
        <v>186</v>
      </c>
      <c r="D5" s="45" t="n">
        <f aca="false">INDEX(Assumptions!$B$17:$B$20,MATCH(B5,Assumptions!$A$17:$A$20,0))</f>
        <v>2.5</v>
      </c>
      <c r="E5" s="45" t="n">
        <f aca="false">INDEX(Assumptions!$B$23:$B$27,MATCH(C5,Assumptions!$A$23:$A$27,0))</f>
        <v>1</v>
      </c>
      <c r="F5" s="46" t="n">
        <f aca="false">D5*E5</f>
        <v>2.5</v>
      </c>
      <c r="G5" s="37" t="n">
        <f aca="false">ROUND(F5*60,0)</f>
        <v>150</v>
      </c>
      <c r="H5" s="45" t="n">
        <f aca="false">IF(OR(C5="Excluded (in-house)",C5="Not applicable"),0,D5*Assumptions!$B$29)</f>
        <v>1.25</v>
      </c>
      <c r="I5" s="44" t="n">
        <v>0</v>
      </c>
      <c r="J5" s="37"/>
    </row>
    <row r="6" customFormat="false" ht="15" hidden="false" customHeight="false" outlineLevel="0" collapsed="false">
      <c r="A6" s="37" t="s">
        <v>16</v>
      </c>
      <c r="B6" s="38" t="s">
        <v>179</v>
      </c>
      <c r="C6" s="38" t="s">
        <v>186</v>
      </c>
      <c r="D6" s="45" t="n">
        <f aca="false">INDEX(Assumptions!$B$17:$B$20,MATCH(B6,Assumptions!$A$17:$A$20,0))</f>
        <v>2.5</v>
      </c>
      <c r="E6" s="45" t="n">
        <f aca="false">INDEX(Assumptions!$B$23:$B$27,MATCH(C6,Assumptions!$A$23:$A$27,0))</f>
        <v>1</v>
      </c>
      <c r="F6" s="46" t="n">
        <f aca="false">D6*E6</f>
        <v>2.5</v>
      </c>
      <c r="G6" s="37" t="n">
        <f aca="false">ROUND(F6*60,0)</f>
        <v>150</v>
      </c>
      <c r="H6" s="45" t="n">
        <f aca="false">IF(OR(C6="Excluded (in-house)",C6="Not applicable"),0,D6*Assumptions!$B$29)</f>
        <v>1.25</v>
      </c>
      <c r="I6" s="44" t="n">
        <v>0</v>
      </c>
      <c r="J6" s="37"/>
    </row>
    <row r="7" customFormat="false" ht="15" hidden="false" customHeight="false" outlineLevel="0" collapsed="false">
      <c r="A7" s="37" t="s">
        <v>22</v>
      </c>
      <c r="B7" s="38" t="s">
        <v>179</v>
      </c>
      <c r="C7" s="38" t="s">
        <v>186</v>
      </c>
      <c r="D7" s="45" t="n">
        <f aca="false">INDEX(Assumptions!$B$17:$B$20,MATCH(B7,Assumptions!$A$17:$A$20,0))</f>
        <v>2.5</v>
      </c>
      <c r="E7" s="45" t="n">
        <f aca="false">INDEX(Assumptions!$B$23:$B$27,MATCH(C7,Assumptions!$A$23:$A$27,0))</f>
        <v>1</v>
      </c>
      <c r="F7" s="46" t="n">
        <f aca="false">D7*E7</f>
        <v>2.5</v>
      </c>
      <c r="G7" s="37" t="n">
        <f aca="false">ROUND(F7*60,0)</f>
        <v>150</v>
      </c>
      <c r="H7" s="45" t="n">
        <f aca="false">IF(OR(C7="Excluded (in-house)",C7="Not applicable"),0,D7*Assumptions!$B$29)</f>
        <v>1.25</v>
      </c>
      <c r="I7" s="44" t="n">
        <v>0</v>
      </c>
      <c r="J7" s="37"/>
    </row>
    <row r="8" customFormat="false" ht="15" hidden="false" customHeight="false" outlineLevel="0" collapsed="false">
      <c r="A8" s="37" t="s">
        <v>23</v>
      </c>
      <c r="B8" s="38" t="s">
        <v>179</v>
      </c>
      <c r="C8" s="38" t="s">
        <v>186</v>
      </c>
      <c r="D8" s="45" t="n">
        <f aca="false">INDEX(Assumptions!$B$17:$B$20,MATCH(B8,Assumptions!$A$17:$A$20,0))</f>
        <v>2.5</v>
      </c>
      <c r="E8" s="45" t="n">
        <f aca="false">INDEX(Assumptions!$B$23:$B$27,MATCH(C8,Assumptions!$A$23:$A$27,0))</f>
        <v>1</v>
      </c>
      <c r="F8" s="46" t="n">
        <f aca="false">D8*E8</f>
        <v>2.5</v>
      </c>
      <c r="G8" s="37" t="n">
        <f aca="false">ROUND(F8*60,0)</f>
        <v>150</v>
      </c>
      <c r="H8" s="45" t="n">
        <f aca="false">IF(OR(C8="Excluded (in-house)",C8="Not applicable"),0,D8*Assumptions!$B$29)</f>
        <v>1.25</v>
      </c>
      <c r="I8" s="44" t="n">
        <v>0</v>
      </c>
      <c r="J8" s="37"/>
    </row>
    <row r="9" customFormat="false" ht="15" hidden="false" customHeight="false" outlineLevel="0" collapsed="false">
      <c r="A9" s="37" t="s">
        <v>24</v>
      </c>
      <c r="B9" s="38" t="s">
        <v>175</v>
      </c>
      <c r="C9" s="38" t="s">
        <v>186</v>
      </c>
      <c r="D9" s="45" t="n">
        <f aca="false">INDEX(Assumptions!$B$17:$B$20,MATCH(B9,Assumptions!$A$17:$A$20,0))</f>
        <v>1.5</v>
      </c>
      <c r="E9" s="45" t="n">
        <f aca="false">INDEX(Assumptions!$B$23:$B$27,MATCH(C9,Assumptions!$A$23:$A$27,0))</f>
        <v>1</v>
      </c>
      <c r="F9" s="46" t="n">
        <f aca="false">D9*E9</f>
        <v>1.5</v>
      </c>
      <c r="G9" s="37" t="n">
        <f aca="false">ROUND(F9*60,0)</f>
        <v>90</v>
      </c>
      <c r="H9" s="45" t="n">
        <f aca="false">IF(OR(C9="Excluded (in-house)",C9="Not applicable"),0,D9*Assumptions!$B$29)</f>
        <v>0.75</v>
      </c>
      <c r="I9" s="44" t="n">
        <v>0</v>
      </c>
      <c r="J9" s="37"/>
    </row>
    <row r="10" customFormat="false" ht="15" hidden="false" customHeight="false" outlineLevel="0" collapsed="false">
      <c r="A10" s="37" t="s">
        <v>25</v>
      </c>
      <c r="B10" s="38" t="s">
        <v>173</v>
      </c>
      <c r="C10" s="38" t="s">
        <v>184</v>
      </c>
      <c r="D10" s="45" t="n">
        <f aca="false">INDEX(Assumptions!$B$17:$B$20,MATCH(B10,Assumptions!$A$17:$A$20,0))</f>
        <v>0.75</v>
      </c>
      <c r="E10" s="45" t="n">
        <f aca="false">INDEX(Assumptions!$B$23:$B$27,MATCH(C10,Assumptions!$A$23:$A$27,0))</f>
        <v>0.5</v>
      </c>
      <c r="F10" s="46" t="n">
        <f aca="false">D10*E10</f>
        <v>0.375</v>
      </c>
      <c r="G10" s="37" t="n">
        <f aca="false">ROUND(F10*60,0)</f>
        <v>23</v>
      </c>
      <c r="H10" s="45" t="n">
        <f aca="false">IF(OR(C10="Excluded (in-house)",C10="Not applicable"),0,D10*Assumptions!$B$29)</f>
        <v>0.375</v>
      </c>
      <c r="I10" s="44" t="n">
        <v>0.75</v>
      </c>
      <c r="J10" s="37"/>
    </row>
    <row r="11" customFormat="false" ht="15" hidden="false" customHeight="false" outlineLevel="0" collapsed="false">
      <c r="A11" s="37" t="s">
        <v>26</v>
      </c>
      <c r="B11" s="38" t="s">
        <v>173</v>
      </c>
      <c r="C11" s="38" t="s">
        <v>184</v>
      </c>
      <c r="D11" s="45" t="n">
        <f aca="false">INDEX(Assumptions!$B$17:$B$20,MATCH(B11,Assumptions!$A$17:$A$20,0))</f>
        <v>0.75</v>
      </c>
      <c r="E11" s="45" t="n">
        <f aca="false">INDEX(Assumptions!$B$23:$B$27,MATCH(C11,Assumptions!$A$23:$A$27,0))</f>
        <v>0.5</v>
      </c>
      <c r="F11" s="46" t="n">
        <f aca="false">D11*E11</f>
        <v>0.375</v>
      </c>
      <c r="G11" s="37" t="n">
        <f aca="false">ROUND(F11*60,0)</f>
        <v>23</v>
      </c>
      <c r="H11" s="45" t="n">
        <f aca="false">IF(OR(C11="Excluded (in-house)",C11="Not applicable"),0,D11*Assumptions!$B$29)</f>
        <v>0.375</v>
      </c>
      <c r="I11" s="44" t="n">
        <v>0.75</v>
      </c>
      <c r="J11" s="37"/>
    </row>
    <row r="12" customFormat="false" ht="15" hidden="false" customHeight="false" outlineLevel="0" collapsed="false">
      <c r="A12" s="37" t="s">
        <v>27</v>
      </c>
      <c r="B12" s="38" t="s">
        <v>175</v>
      </c>
      <c r="C12" s="38" t="s">
        <v>182</v>
      </c>
      <c r="D12" s="45" t="n">
        <f aca="false">INDEX(Assumptions!$B$17:$B$20,MATCH(B12,Assumptions!$A$17:$A$20,0))</f>
        <v>1.5</v>
      </c>
      <c r="E12" s="45" t="n">
        <f aca="false">INDEX(Assumptions!$B$23:$B$27,MATCH(C12,Assumptions!$A$23:$A$27,0))</f>
        <v>0.5</v>
      </c>
      <c r="F12" s="46" t="n">
        <f aca="false">D12*E12</f>
        <v>0.75</v>
      </c>
      <c r="G12" s="37" t="n">
        <f aca="false">ROUND(F12*60,0)</f>
        <v>45</v>
      </c>
      <c r="H12" s="45" t="n">
        <f aca="false">IF(OR(C12="Excluded (in-house)",C12="Not applicable"),0,D12*Assumptions!$B$29)</f>
        <v>0.75</v>
      </c>
      <c r="I12" s="44" t="n">
        <v>4.5</v>
      </c>
      <c r="J12" s="37" t="s">
        <v>209</v>
      </c>
    </row>
    <row r="13" customFormat="false" ht="15" hidden="false" customHeight="false" outlineLevel="0" collapsed="false">
      <c r="A13" s="37" t="s">
        <v>31</v>
      </c>
      <c r="B13" s="38" t="s">
        <v>177</v>
      </c>
      <c r="C13" s="38" t="s">
        <v>182</v>
      </c>
      <c r="D13" s="45" t="n">
        <f aca="false">INDEX(Assumptions!$B$17:$B$20,MATCH(B13,Assumptions!$A$17:$A$20,0))</f>
        <v>4</v>
      </c>
      <c r="E13" s="45" t="n">
        <f aca="false">INDEX(Assumptions!$B$23:$B$27,MATCH(C13,Assumptions!$A$23:$A$27,0))</f>
        <v>0.5</v>
      </c>
      <c r="F13" s="46" t="n">
        <f aca="false">D13*E13</f>
        <v>2</v>
      </c>
      <c r="G13" s="37" t="n">
        <f aca="false">ROUND(F13*60,0)</f>
        <v>120</v>
      </c>
      <c r="H13" s="45" t="n">
        <f aca="false">IF(OR(C13="Excluded (in-house)",C13="Not applicable"),0,D13*Assumptions!$B$29)</f>
        <v>2</v>
      </c>
      <c r="I13" s="44" t="n">
        <v>3.8</v>
      </c>
      <c r="J13" s="37"/>
    </row>
    <row r="14" customFormat="false" ht="15" hidden="false" customHeight="false" outlineLevel="0" collapsed="false">
      <c r="A14" s="37" t="s">
        <v>33</v>
      </c>
      <c r="B14" s="38" t="s">
        <v>175</v>
      </c>
      <c r="C14" s="38" t="s">
        <v>182</v>
      </c>
      <c r="D14" s="45" t="n">
        <f aca="false">INDEX(Assumptions!$B$17:$B$20,MATCH(B14,Assumptions!$A$17:$A$20,0))</f>
        <v>1.5</v>
      </c>
      <c r="E14" s="45" t="n">
        <f aca="false">INDEX(Assumptions!$B$23:$B$27,MATCH(C14,Assumptions!$A$23:$A$27,0))</f>
        <v>0.5</v>
      </c>
      <c r="F14" s="46" t="n">
        <f aca="false">D14*E14</f>
        <v>0.75</v>
      </c>
      <c r="G14" s="37" t="n">
        <f aca="false">ROUND(F14*60,0)</f>
        <v>45</v>
      </c>
      <c r="H14" s="45" t="n">
        <f aca="false">IF(OR(C14="Excluded (in-house)",C14="Not applicable"),0,D14*Assumptions!$B$29)</f>
        <v>0.75</v>
      </c>
      <c r="I14" s="44" t="n">
        <v>0.9</v>
      </c>
      <c r="J14" s="37"/>
    </row>
    <row r="15" customFormat="false" ht="15" hidden="false" customHeight="false" outlineLevel="0" collapsed="false">
      <c r="A15" s="37" t="s">
        <v>34</v>
      </c>
      <c r="B15" s="38" t="s">
        <v>175</v>
      </c>
      <c r="C15" s="38" t="s">
        <v>182</v>
      </c>
      <c r="D15" s="45" t="n">
        <f aca="false">INDEX(Assumptions!$B$17:$B$20,MATCH(B15,Assumptions!$A$17:$A$20,0))</f>
        <v>1.5</v>
      </c>
      <c r="E15" s="45" t="n">
        <f aca="false">INDEX(Assumptions!$B$23:$B$27,MATCH(C15,Assumptions!$A$23:$A$27,0))</f>
        <v>0.5</v>
      </c>
      <c r="F15" s="46" t="n">
        <f aca="false">D15*E15</f>
        <v>0.75</v>
      </c>
      <c r="G15" s="37" t="n">
        <f aca="false">ROUND(F15*60,0)</f>
        <v>45</v>
      </c>
      <c r="H15" s="45" t="n">
        <f aca="false">IF(OR(C15="Excluded (in-house)",C15="Not applicable"),0,D15*Assumptions!$B$29)</f>
        <v>0.75</v>
      </c>
      <c r="I15" s="44" t="n">
        <v>1.1</v>
      </c>
      <c r="J15" s="37"/>
    </row>
    <row r="16" customFormat="false" ht="15" hidden="false" customHeight="false" outlineLevel="0" collapsed="false">
      <c r="A16" s="37" t="s">
        <v>35</v>
      </c>
      <c r="B16" s="38" t="s">
        <v>177</v>
      </c>
      <c r="C16" s="38" t="s">
        <v>182</v>
      </c>
      <c r="D16" s="45" t="n">
        <f aca="false">INDEX(Assumptions!$B$17:$B$20,MATCH(B16,Assumptions!$A$17:$A$20,0))</f>
        <v>4</v>
      </c>
      <c r="E16" s="45" t="n">
        <f aca="false">INDEX(Assumptions!$B$23:$B$27,MATCH(C16,Assumptions!$A$23:$A$27,0))</f>
        <v>0.5</v>
      </c>
      <c r="F16" s="46" t="n">
        <f aca="false">D16*E16</f>
        <v>2</v>
      </c>
      <c r="G16" s="37" t="n">
        <f aca="false">ROUND(F16*60,0)</f>
        <v>120</v>
      </c>
      <c r="H16" s="45" t="n">
        <f aca="false">IF(OR(C16="Excluded (in-house)",C16="Not applicable"),0,D16*Assumptions!$B$29)</f>
        <v>2</v>
      </c>
      <c r="I16" s="44" t="n">
        <v>5.35</v>
      </c>
      <c r="J16" s="37"/>
    </row>
    <row r="17" customFormat="false" ht="15" hidden="false" customHeight="false" outlineLevel="0" collapsed="false">
      <c r="A17" s="37" t="s">
        <v>36</v>
      </c>
      <c r="B17" s="38" t="s">
        <v>177</v>
      </c>
      <c r="C17" s="38" t="s">
        <v>186</v>
      </c>
      <c r="D17" s="45" t="n">
        <f aca="false">INDEX(Assumptions!$B$17:$B$20,MATCH(B17,Assumptions!$A$17:$A$20,0))</f>
        <v>4</v>
      </c>
      <c r="E17" s="45" t="n">
        <f aca="false">INDEX(Assumptions!$B$23:$B$27,MATCH(C17,Assumptions!$A$23:$A$27,0))</f>
        <v>1</v>
      </c>
      <c r="F17" s="46" t="n">
        <f aca="false">D17*E17</f>
        <v>4</v>
      </c>
      <c r="G17" s="37" t="n">
        <f aca="false">ROUND(F17*60,0)</f>
        <v>240</v>
      </c>
      <c r="H17" s="45" t="n">
        <f aca="false">IF(OR(C17="Excluded (in-house)",C17="Not applicable"),0,D17*Assumptions!$B$29)</f>
        <v>2</v>
      </c>
      <c r="I17" s="44" t="n">
        <v>0</v>
      </c>
      <c r="J17" s="37"/>
    </row>
    <row r="18" customFormat="false" ht="15" hidden="false" customHeight="false" outlineLevel="0" collapsed="false">
      <c r="A18" s="37" t="s">
        <v>37</v>
      </c>
      <c r="B18" s="38" t="s">
        <v>175</v>
      </c>
      <c r="C18" s="38" t="s">
        <v>182</v>
      </c>
      <c r="D18" s="45" t="n">
        <f aca="false">INDEX(Assumptions!$B$17:$B$20,MATCH(B18,Assumptions!$A$17:$A$20,0))</f>
        <v>1.5</v>
      </c>
      <c r="E18" s="45" t="n">
        <f aca="false">INDEX(Assumptions!$B$23:$B$27,MATCH(C18,Assumptions!$A$23:$A$27,0))</f>
        <v>0.5</v>
      </c>
      <c r="F18" s="46" t="n">
        <f aca="false">D18*E18</f>
        <v>0.75</v>
      </c>
      <c r="G18" s="37" t="n">
        <f aca="false">ROUND(F18*60,0)</f>
        <v>45</v>
      </c>
      <c r="H18" s="45" t="n">
        <f aca="false">IF(OR(C18="Excluded (in-house)",C18="Not applicable"),0,D18*Assumptions!$B$29)</f>
        <v>0.75</v>
      </c>
      <c r="I18" s="44" t="n">
        <v>3</v>
      </c>
      <c r="J18" s="37" t="s">
        <v>210</v>
      </c>
    </row>
    <row r="19" customFormat="false" ht="15" hidden="false" customHeight="false" outlineLevel="0" collapsed="false">
      <c r="A19" s="37" t="s">
        <v>38</v>
      </c>
      <c r="B19" s="38" t="s">
        <v>177</v>
      </c>
      <c r="C19" s="38" t="s">
        <v>186</v>
      </c>
      <c r="D19" s="45" t="n">
        <f aca="false">INDEX(Assumptions!$B$17:$B$20,MATCH(B19,Assumptions!$A$17:$A$20,0))</f>
        <v>4</v>
      </c>
      <c r="E19" s="45" t="n">
        <f aca="false">INDEX(Assumptions!$B$23:$B$27,MATCH(C19,Assumptions!$A$23:$A$27,0))</f>
        <v>1</v>
      </c>
      <c r="F19" s="46" t="n">
        <f aca="false">D19*E19</f>
        <v>4</v>
      </c>
      <c r="G19" s="37" t="n">
        <f aca="false">ROUND(F19*60,0)</f>
        <v>240</v>
      </c>
      <c r="H19" s="45" t="n">
        <f aca="false">IF(OR(C19="Excluded (in-house)",C19="Not applicable"),0,D19*Assumptions!$B$29)</f>
        <v>2</v>
      </c>
      <c r="I19" s="44" t="n">
        <v>0</v>
      </c>
      <c r="J19" s="37"/>
    </row>
    <row r="20" customFormat="false" ht="15" hidden="false" customHeight="false" outlineLevel="0" collapsed="false">
      <c r="A20" s="37" t="s">
        <v>39</v>
      </c>
      <c r="B20" s="38" t="s">
        <v>173</v>
      </c>
      <c r="C20" s="38" t="s">
        <v>186</v>
      </c>
      <c r="D20" s="45" t="n">
        <f aca="false">INDEX(Assumptions!$B$17:$B$20,MATCH(B20,Assumptions!$A$17:$A$20,0))</f>
        <v>0.75</v>
      </c>
      <c r="E20" s="45" t="n">
        <f aca="false">INDEX(Assumptions!$B$23:$B$27,MATCH(C20,Assumptions!$A$23:$A$27,0))</f>
        <v>1</v>
      </c>
      <c r="F20" s="46" t="n">
        <f aca="false">D20*E20</f>
        <v>0.75</v>
      </c>
      <c r="G20" s="37" t="n">
        <f aca="false">ROUND(F20*60,0)</f>
        <v>45</v>
      </c>
      <c r="H20" s="45" t="n">
        <f aca="false">IF(OR(C20="Excluded (in-house)",C20="Not applicable"),0,D20*Assumptions!$B$29)</f>
        <v>0.375</v>
      </c>
      <c r="I20" s="44" t="n">
        <v>0</v>
      </c>
      <c r="J20" s="37"/>
    </row>
    <row r="21" customFormat="false" ht="15" hidden="false" customHeight="false" outlineLevel="0" collapsed="false">
      <c r="A21" s="37" t="s">
        <v>40</v>
      </c>
      <c r="B21" s="38" t="s">
        <v>175</v>
      </c>
      <c r="C21" s="38" t="s">
        <v>184</v>
      </c>
      <c r="D21" s="45" t="n">
        <f aca="false">INDEX(Assumptions!$B$17:$B$20,MATCH(B21,Assumptions!$A$17:$A$20,0))</f>
        <v>1.5</v>
      </c>
      <c r="E21" s="45" t="n">
        <f aca="false">INDEX(Assumptions!$B$23:$B$27,MATCH(C21,Assumptions!$A$23:$A$27,0))</f>
        <v>0.5</v>
      </c>
      <c r="F21" s="46" t="n">
        <f aca="false">D21*E21</f>
        <v>0.75</v>
      </c>
      <c r="G21" s="37" t="n">
        <f aca="false">ROUND(F21*60,0)</f>
        <v>45</v>
      </c>
      <c r="H21" s="45" t="n">
        <f aca="false">IF(OR(C21="Excluded (in-house)",C21="Not applicable"),0,D21*Assumptions!$B$29)</f>
        <v>0.75</v>
      </c>
      <c r="I21" s="44" t="n">
        <v>1.25</v>
      </c>
      <c r="J21" s="37"/>
    </row>
    <row r="22" customFormat="false" ht="15" hidden="false" customHeight="false" outlineLevel="0" collapsed="false">
      <c r="A22" s="37" t="s">
        <v>43</v>
      </c>
      <c r="B22" s="38" t="s">
        <v>177</v>
      </c>
      <c r="C22" s="38" t="s">
        <v>184</v>
      </c>
      <c r="D22" s="45" t="n">
        <f aca="false">INDEX(Assumptions!$B$17:$B$20,MATCH(B22,Assumptions!$A$17:$A$20,0))</f>
        <v>4</v>
      </c>
      <c r="E22" s="45" t="n">
        <f aca="false">INDEX(Assumptions!$B$23:$B$27,MATCH(C22,Assumptions!$A$23:$A$27,0))</f>
        <v>0.5</v>
      </c>
      <c r="F22" s="46" t="n">
        <f aca="false">D22*E22</f>
        <v>2</v>
      </c>
      <c r="G22" s="37" t="n">
        <f aca="false">ROUND(F22*60,0)</f>
        <v>120</v>
      </c>
      <c r="H22" s="45" t="n">
        <f aca="false">IF(OR(C22="Excluded (in-house)",C22="Not applicable"),0,D22*Assumptions!$B$29)</f>
        <v>2</v>
      </c>
      <c r="I22" s="44" t="n">
        <v>7</v>
      </c>
      <c r="J22" s="37" t="s">
        <v>211</v>
      </c>
    </row>
    <row r="23" customFormat="false" ht="15" hidden="false" customHeight="false" outlineLevel="0" collapsed="false">
      <c r="A23" s="37" t="s">
        <v>45</v>
      </c>
      <c r="B23" s="38" t="s">
        <v>177</v>
      </c>
      <c r="C23" s="38" t="s">
        <v>186</v>
      </c>
      <c r="D23" s="45" t="n">
        <f aca="false">INDEX(Assumptions!$B$17:$B$20,MATCH(B23,Assumptions!$A$17:$A$20,0))</f>
        <v>4</v>
      </c>
      <c r="E23" s="45" t="n">
        <f aca="false">INDEX(Assumptions!$B$23:$B$27,MATCH(C23,Assumptions!$A$23:$A$27,0))</f>
        <v>1</v>
      </c>
      <c r="F23" s="46" t="n">
        <f aca="false">D23*E23</f>
        <v>4</v>
      </c>
      <c r="G23" s="37" t="n">
        <f aca="false">ROUND(F23*60,0)</f>
        <v>240</v>
      </c>
      <c r="H23" s="45" t="n">
        <f aca="false">IF(OR(C23="Excluded (in-house)",C23="Not applicable"),0,D23*Assumptions!$B$29)</f>
        <v>2</v>
      </c>
      <c r="I23" s="44" t="n">
        <v>0</v>
      </c>
      <c r="J23" s="37"/>
    </row>
    <row r="24" customFormat="false" ht="15" hidden="false" customHeight="false" outlineLevel="0" collapsed="false">
      <c r="A24" s="37" t="s">
        <v>46</v>
      </c>
      <c r="B24" s="38" t="s">
        <v>175</v>
      </c>
      <c r="C24" s="38" t="s">
        <v>186</v>
      </c>
      <c r="D24" s="45" t="n">
        <f aca="false">INDEX(Assumptions!$B$17:$B$20,MATCH(B24,Assumptions!$A$17:$A$20,0))</f>
        <v>1.5</v>
      </c>
      <c r="E24" s="45" t="n">
        <f aca="false">INDEX(Assumptions!$B$23:$B$27,MATCH(C24,Assumptions!$A$23:$A$27,0))</f>
        <v>1</v>
      </c>
      <c r="F24" s="46" t="n">
        <f aca="false">D24*E24</f>
        <v>1.5</v>
      </c>
      <c r="G24" s="37" t="n">
        <f aca="false">ROUND(F24*60,0)</f>
        <v>90</v>
      </c>
      <c r="H24" s="45" t="n">
        <f aca="false">IF(OR(C24="Excluded (in-house)",C24="Not applicable"),0,D24*Assumptions!$B$29)</f>
        <v>0.75</v>
      </c>
      <c r="I24" s="44" t="n">
        <v>1</v>
      </c>
      <c r="J24" s="37" t="s">
        <v>212</v>
      </c>
    </row>
    <row r="25" customFormat="false" ht="15" hidden="false" customHeight="false" outlineLevel="0" collapsed="false">
      <c r="A25" s="37" t="s">
        <v>213</v>
      </c>
      <c r="B25" s="38" t="s">
        <v>175</v>
      </c>
      <c r="C25" s="38" t="s">
        <v>189</v>
      </c>
      <c r="D25" s="45" t="n">
        <f aca="false">INDEX(Assumptions!$B$17:$B$20,MATCH(B25,Assumptions!$A$17:$A$20,0))</f>
        <v>1.5</v>
      </c>
      <c r="E25" s="47" t="n">
        <f aca="false">INDEX(Assumptions!$B$23:$B$27,MATCH(C25,Assumptions!$A$23:$A$27,0))</f>
        <v>0</v>
      </c>
      <c r="F25" s="46" t="n">
        <f aca="false">D25*E25</f>
        <v>0</v>
      </c>
      <c r="G25" s="37" t="n">
        <f aca="false">ROUND(F25*60,0)</f>
        <v>0</v>
      </c>
      <c r="H25" s="45" t="n">
        <f aca="false">IF(OR(C25="Excluded (in-house)",C25="Not applicable"),0,D25*Assumptions!$B$29)</f>
        <v>0</v>
      </c>
      <c r="I25" s="44" t="n">
        <v>10</v>
      </c>
      <c r="J25" s="37" t="s">
        <v>214</v>
      </c>
    </row>
    <row r="26" customFormat="false" ht="15" hidden="false" customHeight="false" outlineLevel="0" collapsed="false">
      <c r="A26" s="37" t="s">
        <v>47</v>
      </c>
      <c r="B26" s="38" t="s">
        <v>173</v>
      </c>
      <c r="C26" s="38" t="s">
        <v>182</v>
      </c>
      <c r="D26" s="45" t="n">
        <f aca="false">INDEX(Assumptions!$B$17:$B$20,MATCH(B26,Assumptions!$A$17:$A$20,0))</f>
        <v>0.75</v>
      </c>
      <c r="E26" s="45" t="n">
        <f aca="false">INDEX(Assumptions!$B$23:$B$27,MATCH(C26,Assumptions!$A$23:$A$27,0))</f>
        <v>0.5</v>
      </c>
      <c r="F26" s="46" t="n">
        <f aca="false">D26*E26</f>
        <v>0.375</v>
      </c>
      <c r="G26" s="37" t="n">
        <f aca="false">ROUND(F26*60,0)</f>
        <v>23</v>
      </c>
      <c r="H26" s="45" t="n">
        <f aca="false">IF(OR(C26="Excluded (in-house)",C26="Not applicable"),0,D26*Assumptions!$B$29)</f>
        <v>0.375</v>
      </c>
      <c r="I26" s="44" t="n">
        <v>1</v>
      </c>
      <c r="J26" s="37"/>
    </row>
    <row r="27" customFormat="false" ht="15" hidden="false" customHeight="false" outlineLevel="0" collapsed="false">
      <c r="A27" s="37" t="s">
        <v>48</v>
      </c>
      <c r="B27" s="38" t="s">
        <v>173</v>
      </c>
      <c r="C27" s="38" t="s">
        <v>184</v>
      </c>
      <c r="D27" s="45" t="n">
        <f aca="false">INDEX(Assumptions!$B$17:$B$20,MATCH(B27,Assumptions!$A$17:$A$20,0))</f>
        <v>0.75</v>
      </c>
      <c r="E27" s="45" t="n">
        <f aca="false">INDEX(Assumptions!$B$23:$B$27,MATCH(C27,Assumptions!$A$23:$A$27,0))</f>
        <v>0.5</v>
      </c>
      <c r="F27" s="46" t="n">
        <f aca="false">D27*E27</f>
        <v>0.375</v>
      </c>
      <c r="G27" s="37" t="n">
        <f aca="false">ROUND(F27*60,0)</f>
        <v>23</v>
      </c>
      <c r="H27" s="45" t="n">
        <f aca="false">IF(OR(C27="Excluded (in-house)",C27="Not applicable"),0,D27*Assumptions!$B$29)</f>
        <v>0.375</v>
      </c>
      <c r="I27" s="44" t="n">
        <v>0.75</v>
      </c>
      <c r="J27" s="37"/>
    </row>
    <row r="28" customFormat="false" ht="15" hidden="false" customHeight="false" outlineLevel="0" collapsed="false">
      <c r="A28" s="37" t="s">
        <v>50</v>
      </c>
      <c r="B28" s="38" t="s">
        <v>177</v>
      </c>
      <c r="C28" s="38" t="s">
        <v>184</v>
      </c>
      <c r="D28" s="45" t="n">
        <f aca="false">INDEX(Assumptions!$B$17:$B$20,MATCH(B28,Assumptions!$A$17:$A$20,0))</f>
        <v>4</v>
      </c>
      <c r="E28" s="45" t="n">
        <f aca="false">INDEX(Assumptions!$B$23:$B$27,MATCH(C28,Assumptions!$A$23:$A$27,0))</f>
        <v>0.5</v>
      </c>
      <c r="F28" s="46" t="n">
        <f aca="false">D28*E28</f>
        <v>2</v>
      </c>
      <c r="G28" s="37" t="n">
        <f aca="false">ROUND(F28*60,0)</f>
        <v>120</v>
      </c>
      <c r="H28" s="45" t="n">
        <f aca="false">IF(OR(C28="Excluded (in-house)",C28="Not applicable"),0,D28*Assumptions!$B$29)</f>
        <v>2</v>
      </c>
      <c r="I28" s="44" t="n">
        <v>8</v>
      </c>
      <c r="J28" s="37" t="s">
        <v>211</v>
      </c>
    </row>
    <row r="29" customFormat="false" ht="15" hidden="false" customHeight="false" outlineLevel="0" collapsed="false">
      <c r="A29" s="37" t="s">
        <v>52</v>
      </c>
      <c r="B29" s="38" t="s">
        <v>175</v>
      </c>
      <c r="C29" s="38" t="s">
        <v>186</v>
      </c>
      <c r="D29" s="45" t="n">
        <f aca="false">INDEX(Assumptions!$B$17:$B$20,MATCH(B29,Assumptions!$A$17:$A$20,0))</f>
        <v>1.5</v>
      </c>
      <c r="E29" s="45" t="n">
        <f aca="false">INDEX(Assumptions!$B$23:$B$27,MATCH(C29,Assumptions!$A$23:$A$27,0))</f>
        <v>1</v>
      </c>
      <c r="F29" s="46" t="n">
        <f aca="false">D29*E29</f>
        <v>1.5</v>
      </c>
      <c r="G29" s="37" t="n">
        <f aca="false">ROUND(F29*60,0)</f>
        <v>90</v>
      </c>
      <c r="H29" s="45" t="n">
        <f aca="false">IF(OR(C29="Excluded (in-house)",C29="Not applicable"),0,D29*Assumptions!$B$29)</f>
        <v>0.75</v>
      </c>
      <c r="I29" s="44" t="n">
        <v>0</v>
      </c>
      <c r="J29" s="37"/>
    </row>
    <row r="30" customFormat="false" ht="15" hidden="false" customHeight="false" outlineLevel="0" collapsed="false">
      <c r="A30" s="37" t="s">
        <v>53</v>
      </c>
      <c r="B30" s="38" t="s">
        <v>177</v>
      </c>
      <c r="C30" s="38" t="s">
        <v>186</v>
      </c>
      <c r="D30" s="45" t="n">
        <f aca="false">INDEX(Assumptions!$B$17:$B$20,MATCH(B30,Assumptions!$A$17:$A$20,0))</f>
        <v>4</v>
      </c>
      <c r="E30" s="45" t="n">
        <f aca="false">INDEX(Assumptions!$B$23:$B$27,MATCH(C30,Assumptions!$A$23:$A$27,0))</f>
        <v>1</v>
      </c>
      <c r="F30" s="46" t="n">
        <f aca="false">D30*E30</f>
        <v>4</v>
      </c>
      <c r="G30" s="37" t="n">
        <f aca="false">ROUND(F30*60,0)</f>
        <v>240</v>
      </c>
      <c r="H30" s="45" t="n">
        <f aca="false">IF(OR(C30="Excluded (in-house)",C30="Not applicable"),0,D30*Assumptions!$B$29)</f>
        <v>2</v>
      </c>
      <c r="I30" s="44" t="n">
        <v>0</v>
      </c>
      <c r="J30" s="37"/>
    </row>
    <row r="31" customFormat="false" ht="15" hidden="false" customHeight="false" outlineLevel="0" collapsed="false">
      <c r="A31" s="37" t="s">
        <v>54</v>
      </c>
      <c r="B31" s="38" t="s">
        <v>177</v>
      </c>
      <c r="C31" s="38" t="s">
        <v>186</v>
      </c>
      <c r="D31" s="45" t="n">
        <f aca="false">INDEX(Assumptions!$B$17:$B$20,MATCH(B31,Assumptions!$A$17:$A$20,0))</f>
        <v>4</v>
      </c>
      <c r="E31" s="45" t="n">
        <f aca="false">INDEX(Assumptions!$B$23:$B$27,MATCH(C31,Assumptions!$A$23:$A$27,0))</f>
        <v>1</v>
      </c>
      <c r="F31" s="46" t="n">
        <f aca="false">D31*E31</f>
        <v>4</v>
      </c>
      <c r="G31" s="37" t="n">
        <f aca="false">ROUND(F31*60,0)</f>
        <v>240</v>
      </c>
      <c r="H31" s="45" t="n">
        <f aca="false">IF(OR(C31="Excluded (in-house)",C31="Not applicable"),0,D31*Assumptions!$B$29)</f>
        <v>2</v>
      </c>
      <c r="I31" s="44" t="n">
        <v>0</v>
      </c>
      <c r="J31" s="37" t="s">
        <v>215</v>
      </c>
    </row>
    <row r="32" customFormat="false" ht="15" hidden="false" customHeight="false" outlineLevel="0" collapsed="false">
      <c r="A32" s="37" t="s">
        <v>58</v>
      </c>
      <c r="B32" s="38" t="s">
        <v>175</v>
      </c>
      <c r="C32" s="38" t="s">
        <v>186</v>
      </c>
      <c r="D32" s="45" t="n">
        <f aca="false">INDEX(Assumptions!$B$17:$B$20,MATCH(B32,Assumptions!$A$17:$A$20,0))</f>
        <v>1.5</v>
      </c>
      <c r="E32" s="45" t="n">
        <f aca="false">INDEX(Assumptions!$B$23:$B$27,MATCH(C32,Assumptions!$A$23:$A$27,0))</f>
        <v>1</v>
      </c>
      <c r="F32" s="46" t="n">
        <f aca="false">D32*E32</f>
        <v>1.5</v>
      </c>
      <c r="G32" s="37" t="n">
        <f aca="false">ROUND(F32*60,0)</f>
        <v>90</v>
      </c>
      <c r="H32" s="45" t="n">
        <f aca="false">IF(OR(C32="Excluded (in-house)",C32="Not applicable"),0,D32*Assumptions!$B$29)</f>
        <v>0.75</v>
      </c>
      <c r="I32" s="44" t="n">
        <v>0</v>
      </c>
      <c r="J32" s="37"/>
    </row>
    <row r="33" customFormat="false" ht="15" hidden="false" customHeight="false" outlineLevel="0" collapsed="false">
      <c r="A33" s="37" t="s">
        <v>61</v>
      </c>
      <c r="B33" s="38" t="s">
        <v>177</v>
      </c>
      <c r="C33" s="38" t="s">
        <v>186</v>
      </c>
      <c r="D33" s="45" t="n">
        <f aca="false">INDEX(Assumptions!$B$17:$B$20,MATCH(B33,Assumptions!$A$17:$A$20,0))</f>
        <v>4</v>
      </c>
      <c r="E33" s="45" t="n">
        <f aca="false">INDEX(Assumptions!$B$23:$B$27,MATCH(C33,Assumptions!$A$23:$A$27,0))</f>
        <v>1</v>
      </c>
      <c r="F33" s="46" t="n">
        <f aca="false">D33*E33</f>
        <v>4</v>
      </c>
      <c r="G33" s="37" t="n">
        <f aca="false">ROUND(F33*60,0)</f>
        <v>240</v>
      </c>
      <c r="H33" s="45" t="n">
        <f aca="false">IF(OR(C33="Excluded (in-house)",C33="Not applicable"),0,D33*Assumptions!$B$29)</f>
        <v>2</v>
      </c>
      <c r="I33" s="44" t="n">
        <v>0</v>
      </c>
      <c r="J33" s="37"/>
    </row>
    <row r="34" customFormat="false" ht="15" hidden="false" customHeight="false" outlineLevel="0" collapsed="false">
      <c r="A34" s="37" t="s">
        <v>68</v>
      </c>
      <c r="B34" s="38" t="s">
        <v>177</v>
      </c>
      <c r="C34" s="38" t="s">
        <v>182</v>
      </c>
      <c r="D34" s="45" t="n">
        <f aca="false">INDEX(Assumptions!$B$17:$B$20,MATCH(B34,Assumptions!$A$17:$A$20,0))</f>
        <v>4</v>
      </c>
      <c r="E34" s="45" t="n">
        <f aca="false">INDEX(Assumptions!$B$23:$B$27,MATCH(C34,Assumptions!$A$23:$A$27,0))</f>
        <v>0.5</v>
      </c>
      <c r="F34" s="46" t="n">
        <f aca="false">D34*E34</f>
        <v>2</v>
      </c>
      <c r="G34" s="37" t="n">
        <f aca="false">ROUND(F34*60,0)</f>
        <v>120</v>
      </c>
      <c r="H34" s="45" t="n">
        <f aca="false">IF(OR(C34="Excluded (in-house)",C34="Not applicable"),0,D34*Assumptions!$B$29)</f>
        <v>2</v>
      </c>
      <c r="I34" s="44" t="n">
        <v>0</v>
      </c>
      <c r="J34" s="37" t="s">
        <v>216</v>
      </c>
    </row>
    <row r="35" customFormat="false" ht="15" hidden="false" customHeight="false" outlineLevel="0" collapsed="false">
      <c r="A35" s="37" t="s">
        <v>69</v>
      </c>
      <c r="B35" s="38" t="s">
        <v>173</v>
      </c>
      <c r="C35" s="38" t="s">
        <v>186</v>
      </c>
      <c r="D35" s="45" t="n">
        <f aca="false">INDEX(Assumptions!$B$17:$B$20,MATCH(B35,Assumptions!$A$17:$A$20,0))</f>
        <v>0.75</v>
      </c>
      <c r="E35" s="45" t="n">
        <f aca="false">INDEX(Assumptions!$B$23:$B$27,MATCH(C35,Assumptions!$A$23:$A$27,0))</f>
        <v>1</v>
      </c>
      <c r="F35" s="46" t="n">
        <f aca="false">D35*E35</f>
        <v>0.75</v>
      </c>
      <c r="G35" s="37" t="n">
        <f aca="false">ROUND(F35*60,0)</f>
        <v>45</v>
      </c>
      <c r="H35" s="45" t="n">
        <f aca="false">IF(OR(C35="Excluded (in-house)",C35="Not applicable"),0,D35*Assumptions!$B$29)</f>
        <v>0.375</v>
      </c>
      <c r="I35" s="44" t="n">
        <v>0</v>
      </c>
      <c r="J35" s="37"/>
    </row>
    <row r="36" customFormat="false" ht="15" hidden="false" customHeight="false" outlineLevel="0" collapsed="false">
      <c r="A36" s="37" t="s">
        <v>70</v>
      </c>
      <c r="B36" s="38" t="s">
        <v>175</v>
      </c>
      <c r="C36" s="38" t="s">
        <v>186</v>
      </c>
      <c r="D36" s="45" t="n">
        <f aca="false">INDEX(Assumptions!$B$17:$B$20,MATCH(B36,Assumptions!$A$17:$A$20,0))</f>
        <v>1.5</v>
      </c>
      <c r="E36" s="45" t="n">
        <f aca="false">INDEX(Assumptions!$B$23:$B$27,MATCH(C36,Assumptions!$A$23:$A$27,0))</f>
        <v>1</v>
      </c>
      <c r="F36" s="46" t="n">
        <f aca="false">D36*E36</f>
        <v>1.5</v>
      </c>
      <c r="G36" s="37" t="n">
        <f aca="false">ROUND(F36*60,0)</f>
        <v>90</v>
      </c>
      <c r="H36" s="45" t="n">
        <f aca="false">IF(OR(C36="Excluded (in-house)",C36="Not applicable"),0,D36*Assumptions!$B$29)</f>
        <v>0.75</v>
      </c>
      <c r="I36" s="44" t="n">
        <v>2.5</v>
      </c>
      <c r="J36" s="37" t="s">
        <v>217</v>
      </c>
    </row>
    <row r="37" customFormat="false" ht="15" hidden="false" customHeight="false" outlineLevel="0" collapsed="false">
      <c r="A37" s="37" t="s">
        <v>71</v>
      </c>
      <c r="B37" s="38" t="s">
        <v>177</v>
      </c>
      <c r="C37" s="38" t="s">
        <v>186</v>
      </c>
      <c r="D37" s="45" t="n">
        <f aca="false">INDEX(Assumptions!$B$17:$B$20,MATCH(B37,Assumptions!$A$17:$A$20,0))</f>
        <v>4</v>
      </c>
      <c r="E37" s="45" t="n">
        <f aca="false">INDEX(Assumptions!$B$23:$B$27,MATCH(C37,Assumptions!$A$23:$A$27,0))</f>
        <v>1</v>
      </c>
      <c r="F37" s="46" t="n">
        <f aca="false">D37*E37</f>
        <v>4</v>
      </c>
      <c r="G37" s="37" t="n">
        <f aca="false">ROUND(F37*60,0)</f>
        <v>240</v>
      </c>
      <c r="H37" s="45" t="n">
        <f aca="false">IF(OR(C37="Excluded (in-house)",C37="Not applicable"),0,D37*Assumptions!$B$29)</f>
        <v>2</v>
      </c>
      <c r="I37" s="44" t="n">
        <v>0</v>
      </c>
      <c r="J37" s="37"/>
    </row>
    <row r="38" customFormat="false" ht="15" hidden="false" customHeight="false" outlineLevel="0" collapsed="false">
      <c r="A38" s="37" t="s">
        <v>72</v>
      </c>
      <c r="B38" s="38" t="s">
        <v>173</v>
      </c>
      <c r="C38" s="38" t="s">
        <v>188</v>
      </c>
      <c r="D38" s="45" t="n">
        <f aca="false">INDEX(Assumptions!$B$17:$B$20,MATCH(B38,Assumptions!$A$17:$A$20,0))</f>
        <v>0.75</v>
      </c>
      <c r="E38" s="47" t="n">
        <f aca="false">INDEX(Assumptions!$B$23:$B$27,MATCH(C38,Assumptions!$A$23:$A$27,0))</f>
        <v>0</v>
      </c>
      <c r="F38" s="46" t="n">
        <f aca="false">D38*E38</f>
        <v>0</v>
      </c>
      <c r="G38" s="37" t="n">
        <f aca="false">ROUND(F38*60,0)</f>
        <v>0</v>
      </c>
      <c r="H38" s="45" t="n">
        <f aca="false">IF(OR(C38="Excluded (in-house)",C38="Not applicable"),0,D38*Assumptions!$B$29)</f>
        <v>0</v>
      </c>
      <c r="I38" s="44" t="n">
        <v>0</v>
      </c>
      <c r="J38" s="37"/>
    </row>
    <row r="39" customFormat="false" ht="15" hidden="false" customHeight="false" outlineLevel="0" collapsed="false">
      <c r="A39" s="37" t="s">
        <v>73</v>
      </c>
      <c r="B39" s="38" t="s">
        <v>177</v>
      </c>
      <c r="C39" s="38" t="s">
        <v>186</v>
      </c>
      <c r="D39" s="45" t="n">
        <f aca="false">INDEX(Assumptions!$B$17:$B$20,MATCH(B39,Assumptions!$A$17:$A$20,0))</f>
        <v>4</v>
      </c>
      <c r="E39" s="45" t="n">
        <f aca="false">INDEX(Assumptions!$B$23:$B$27,MATCH(C39,Assumptions!$A$23:$A$27,0))</f>
        <v>1</v>
      </c>
      <c r="F39" s="46" t="n">
        <f aca="false">D39*E39</f>
        <v>4</v>
      </c>
      <c r="G39" s="37" t="n">
        <f aca="false">ROUND(F39*60,0)</f>
        <v>240</v>
      </c>
      <c r="H39" s="45" t="n">
        <f aca="false">IF(OR(C39="Excluded (in-house)",C39="Not applicable"),0,D39*Assumptions!$B$29)</f>
        <v>2</v>
      </c>
      <c r="I39" s="44" t="n">
        <v>0</v>
      </c>
      <c r="J39" s="37"/>
    </row>
    <row r="40" customFormat="false" ht="15" hidden="false" customHeight="false" outlineLevel="0" collapsed="false">
      <c r="A40" s="37" t="s">
        <v>74</v>
      </c>
      <c r="B40" s="38" t="s">
        <v>173</v>
      </c>
      <c r="C40" s="38" t="s">
        <v>184</v>
      </c>
      <c r="D40" s="45" t="n">
        <f aca="false">INDEX(Assumptions!$B$17:$B$20,MATCH(B40,Assumptions!$A$17:$A$20,0))</f>
        <v>0.75</v>
      </c>
      <c r="E40" s="45" t="n">
        <f aca="false">INDEX(Assumptions!$B$23:$B$27,MATCH(C40,Assumptions!$A$23:$A$27,0))</f>
        <v>0.5</v>
      </c>
      <c r="F40" s="46" t="n">
        <f aca="false">D40*E40</f>
        <v>0.375</v>
      </c>
      <c r="G40" s="37" t="n">
        <f aca="false">ROUND(F40*60,0)</f>
        <v>23</v>
      </c>
      <c r="H40" s="45" t="n">
        <f aca="false">IF(OR(C40="Excluded (in-house)",C40="Not applicable"),0,D40*Assumptions!$B$29)</f>
        <v>0.375</v>
      </c>
      <c r="I40" s="44" t="n">
        <v>0.75</v>
      </c>
      <c r="J40" s="37"/>
    </row>
    <row r="41" customFormat="false" ht="15" hidden="false" customHeight="false" outlineLevel="0" collapsed="false">
      <c r="A41" s="37" t="s">
        <v>75</v>
      </c>
      <c r="B41" s="38" t="s">
        <v>173</v>
      </c>
      <c r="C41" s="38" t="s">
        <v>184</v>
      </c>
      <c r="D41" s="45" t="n">
        <f aca="false">INDEX(Assumptions!$B$17:$B$20,MATCH(B41,Assumptions!$A$17:$A$20,0))</f>
        <v>0.75</v>
      </c>
      <c r="E41" s="45" t="n">
        <f aca="false">INDEX(Assumptions!$B$23:$B$27,MATCH(C41,Assumptions!$A$23:$A$27,0))</f>
        <v>0.5</v>
      </c>
      <c r="F41" s="46" t="n">
        <f aca="false">D41*E41</f>
        <v>0.375</v>
      </c>
      <c r="G41" s="37" t="n">
        <f aca="false">ROUND(F41*60,0)</f>
        <v>23</v>
      </c>
      <c r="H41" s="45" t="n">
        <f aca="false">IF(OR(C41="Excluded (in-house)",C41="Not applicable"),0,D41*Assumptions!$B$29)</f>
        <v>0.375</v>
      </c>
      <c r="I41" s="44" t="n">
        <v>0.75</v>
      </c>
      <c r="J41" s="37"/>
    </row>
    <row r="42" customFormat="false" ht="15" hidden="false" customHeight="false" outlineLevel="0" collapsed="false">
      <c r="A42" s="37" t="s">
        <v>76</v>
      </c>
      <c r="B42" s="38" t="s">
        <v>175</v>
      </c>
      <c r="C42" s="38" t="s">
        <v>184</v>
      </c>
      <c r="D42" s="45" t="n">
        <f aca="false">INDEX(Assumptions!$B$17:$B$20,MATCH(B42,Assumptions!$A$17:$A$20,0))</f>
        <v>1.5</v>
      </c>
      <c r="E42" s="45" t="n">
        <f aca="false">INDEX(Assumptions!$B$23:$B$27,MATCH(C42,Assumptions!$A$23:$A$27,0))</f>
        <v>0.5</v>
      </c>
      <c r="F42" s="46" t="n">
        <f aca="false">D42*E42</f>
        <v>0.75</v>
      </c>
      <c r="G42" s="37" t="n">
        <f aca="false">ROUND(F42*60,0)</f>
        <v>45</v>
      </c>
      <c r="H42" s="45" t="n">
        <f aca="false">IF(OR(C42="Excluded (in-house)",C42="Not applicable"),0,D42*Assumptions!$B$29)</f>
        <v>0.75</v>
      </c>
      <c r="I42" s="44" t="n">
        <v>1.5</v>
      </c>
      <c r="J42" s="37"/>
    </row>
    <row r="43" customFormat="false" ht="15" hidden="false" customHeight="false" outlineLevel="0" collapsed="false">
      <c r="A43" s="37" t="s">
        <v>81</v>
      </c>
      <c r="B43" s="38" t="s">
        <v>175</v>
      </c>
      <c r="C43" s="38" t="s">
        <v>184</v>
      </c>
      <c r="D43" s="45" t="n">
        <f aca="false">INDEX(Assumptions!$B$17:$B$20,MATCH(B43,Assumptions!$A$17:$A$20,0))</f>
        <v>1.5</v>
      </c>
      <c r="E43" s="45" t="n">
        <f aca="false">INDEX(Assumptions!$B$23:$B$27,MATCH(C43,Assumptions!$A$23:$A$27,0))</f>
        <v>0.5</v>
      </c>
      <c r="F43" s="46" t="n">
        <f aca="false">D43*E43</f>
        <v>0.75</v>
      </c>
      <c r="G43" s="37" t="n">
        <f aca="false">ROUND(F43*60,0)</f>
        <v>45</v>
      </c>
      <c r="H43" s="45" t="n">
        <f aca="false">IF(OR(C43="Excluded (in-house)",C43="Not applicable"),0,D43*Assumptions!$B$29)</f>
        <v>0.75</v>
      </c>
      <c r="I43" s="44" t="n">
        <v>1.5</v>
      </c>
      <c r="J43" s="37"/>
    </row>
    <row r="44" customFormat="false" ht="15" hidden="false" customHeight="false" outlineLevel="0" collapsed="false">
      <c r="A44" s="37" t="s">
        <v>82</v>
      </c>
      <c r="B44" s="38" t="s">
        <v>175</v>
      </c>
      <c r="C44" s="38" t="s">
        <v>184</v>
      </c>
      <c r="D44" s="45" t="n">
        <f aca="false">INDEX(Assumptions!$B$17:$B$20,MATCH(B44,Assumptions!$A$17:$A$20,0))</f>
        <v>1.5</v>
      </c>
      <c r="E44" s="45" t="n">
        <f aca="false">INDEX(Assumptions!$B$23:$B$27,MATCH(C44,Assumptions!$A$23:$A$27,0))</f>
        <v>0.5</v>
      </c>
      <c r="F44" s="46" t="n">
        <f aca="false">D44*E44</f>
        <v>0.75</v>
      </c>
      <c r="G44" s="37" t="n">
        <f aca="false">ROUND(F44*60,0)</f>
        <v>45</v>
      </c>
      <c r="H44" s="45" t="n">
        <f aca="false">IF(OR(C44="Excluded (in-house)",C44="Not applicable"),0,D44*Assumptions!$B$29)</f>
        <v>0.75</v>
      </c>
      <c r="I44" s="44" t="n">
        <v>0.75</v>
      </c>
      <c r="J44" s="37"/>
    </row>
    <row r="45" customFormat="false" ht="15" hidden="false" customHeight="false" outlineLevel="0" collapsed="false">
      <c r="A45" s="37" t="s">
        <v>83</v>
      </c>
      <c r="B45" s="38" t="s">
        <v>175</v>
      </c>
      <c r="C45" s="38" t="s">
        <v>184</v>
      </c>
      <c r="D45" s="45" t="n">
        <f aca="false">INDEX(Assumptions!$B$17:$B$20,MATCH(B45,Assumptions!$A$17:$A$20,0))</f>
        <v>1.5</v>
      </c>
      <c r="E45" s="45" t="n">
        <f aca="false">INDEX(Assumptions!$B$23:$B$27,MATCH(C45,Assumptions!$A$23:$A$27,0))</f>
        <v>0.5</v>
      </c>
      <c r="F45" s="46" t="n">
        <f aca="false">D45*E45</f>
        <v>0.75</v>
      </c>
      <c r="G45" s="37" t="n">
        <f aca="false">ROUND(F45*60,0)</f>
        <v>45</v>
      </c>
      <c r="H45" s="45" t="n">
        <f aca="false">IF(OR(C45="Excluded (in-house)",C45="Not applicable"),0,D45*Assumptions!$B$29)</f>
        <v>0.75</v>
      </c>
      <c r="I45" s="44" t="n">
        <v>3</v>
      </c>
      <c r="J45" s="37"/>
    </row>
    <row r="46" customFormat="false" ht="15" hidden="false" customHeight="false" outlineLevel="0" collapsed="false">
      <c r="A46" s="4" t="s">
        <v>218</v>
      </c>
      <c r="B46" s="2"/>
      <c r="C46" s="2"/>
      <c r="D46" s="2"/>
      <c r="E46" s="2"/>
      <c r="F46" s="48" t="n">
        <f aca="false">SUM(F5:F45)</f>
        <v>70</v>
      </c>
      <c r="G46" s="49" t="n">
        <f aca="false">SUM(G5:G45)</f>
        <v>4203</v>
      </c>
      <c r="H46" s="48" t="n">
        <f aca="false">SUM(H5:H45)</f>
        <v>44.5</v>
      </c>
      <c r="I46" s="48" t="n">
        <f aca="false">SUM(I5:I45)</f>
        <v>59.9</v>
      </c>
      <c r="J46" s="2"/>
    </row>
    <row r="47" customFormat="false" ht="15" hidden="false" customHeight="false" outlineLevel="0" collapsed="false">
      <c r="A47" s="2"/>
      <c r="B47" s="2"/>
      <c r="C47" s="2"/>
      <c r="D47" s="2"/>
      <c r="E47" s="2"/>
      <c r="F47" s="2"/>
      <c r="G47" s="2"/>
      <c r="H47" s="2"/>
      <c r="I47" s="2"/>
      <c r="J47" s="2"/>
    </row>
    <row r="48" customFormat="false" ht="15" hidden="false" customHeight="false" outlineLevel="0" collapsed="false">
      <c r="A48" s="3" t="s">
        <v>219</v>
      </c>
      <c r="B48" s="2"/>
      <c r="C48" s="2"/>
      <c r="D48" s="2"/>
      <c r="E48" s="2"/>
      <c r="F48" s="2"/>
      <c r="G48" s="2"/>
      <c r="H48" s="2"/>
      <c r="I48" s="2"/>
      <c r="J48" s="2"/>
    </row>
  </sheetData>
  <dataValidations count="2">
    <dataValidation allowBlank="false" errorStyle="stop" operator="between" showDropDown="false" showErrorMessage="false" showInputMessage="false" sqref="B5:B45" type="list">
      <formula1>"Simple,Standard,Complex,Small property"</formula1>
      <formula2>0</formula2>
    </dataValidation>
    <dataValidation allowBlank="false" errorStyle="stop" operator="between" showDropDown="false" showErrorMessage="false" showInputMessage="false" sqref="C5:C45" type="list">
      <formula1>"Completed,Partly done (3 of 7),Not started,Not applicable,Excluded (in-house)"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true" outlineLevel="0" max="1" min="1" style="0" width="10"/>
    <col collapsed="false" customWidth="true" hidden="false" outlineLevel="0" max="2" min="2" style="0" width="40"/>
    <col collapsed="false" customWidth="true" hidden="false" outlineLevel="0" max="3" min="3" style="0" width="18"/>
    <col collapsed="false" customWidth="true" hidden="false" outlineLevel="0" max="4" min="4" style="0" width="44"/>
    <col collapsed="false" customWidth="true" hidden="false" outlineLevel="0" max="5" min="5" style="0" width="11"/>
    <col collapsed="false" customWidth="true" hidden="false" outlineLevel="0" max="8" min="6" style="0" width="12"/>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9"/>
    <col collapsed="false" customWidth="true" hidden="false" outlineLevel="0" max="13" min="13" style="0" width="12"/>
    <col collapsed="false" customWidth="true" hidden="false" outlineLevel="0" max="15" min="14" style="0" width="13"/>
    <col collapsed="false" customWidth="true" hidden="false" outlineLevel="0" max="16" min="16" style="0" width="16"/>
    <col collapsed="false" customWidth="true" hidden="false" outlineLevel="0" max="17" min="17" style="0" width="90"/>
    <col collapsed="false" customWidth="true" hidden="false" outlineLevel="0" max="18" min="18" style="0" width="44"/>
  </cols>
  <sheetData>
    <row r="1" customFormat="false" ht="31.5" hidden="false" customHeight="true" outlineLevel="0" collapsed="false">
      <c r="A1" s="5" t="s">
        <v>220</v>
      </c>
      <c r="B1" s="5" t="s">
        <v>3</v>
      </c>
      <c r="C1" s="5" t="s">
        <v>221</v>
      </c>
      <c r="D1" s="5" t="s">
        <v>222</v>
      </c>
      <c r="E1" s="5" t="s">
        <v>5</v>
      </c>
      <c r="F1" s="5" t="s">
        <v>223</v>
      </c>
      <c r="G1" s="5" t="s">
        <v>224</v>
      </c>
      <c r="H1" s="5" t="s">
        <v>225</v>
      </c>
      <c r="I1" s="5" t="s">
        <v>226</v>
      </c>
      <c r="J1" s="5" t="s">
        <v>227</v>
      </c>
      <c r="K1" s="5" t="s">
        <v>228</v>
      </c>
      <c r="L1" s="5" t="s">
        <v>229</v>
      </c>
      <c r="M1" s="5" t="s">
        <v>230</v>
      </c>
      <c r="N1" s="5" t="s">
        <v>231</v>
      </c>
      <c r="O1" s="5" t="s">
        <v>232</v>
      </c>
      <c r="P1" s="5" t="s">
        <v>233</v>
      </c>
      <c r="Q1" s="5" t="s">
        <v>234</v>
      </c>
      <c r="R1" s="5" t="s">
        <v>235</v>
      </c>
    </row>
    <row r="2" customFormat="false" ht="15" hidden="false" customHeight="false" outlineLevel="0" collapsed="false">
      <c r="A2" s="2" t="s">
        <v>236</v>
      </c>
      <c r="B2" s="37" t="s">
        <v>11</v>
      </c>
      <c r="C2" s="37" t="s">
        <v>170</v>
      </c>
      <c r="D2" s="37" t="s">
        <v>237</v>
      </c>
      <c r="E2" s="37" t="s">
        <v>170</v>
      </c>
      <c r="F2" s="45" t="n">
        <f aca="false">IFERROR(INDEX('1099 Oct 30'!$H$5:$H$45,MATCH(B2,'1099 Oct 30'!$A$5:$A$45,0)),0)</f>
        <v>1.25</v>
      </c>
      <c r="G2" s="44" t="n">
        <v>0</v>
      </c>
      <c r="H2" s="50" t="n">
        <f aca="false">F2+G2</f>
        <v>1.25</v>
      </c>
      <c r="I2" s="2" t="n">
        <f aca="false">ROUND(H2*60,0)</f>
        <v>75</v>
      </c>
      <c r="J2" s="2" t="n">
        <f aca="false">ROUND(F2*60,0)</f>
        <v>75</v>
      </c>
      <c r="K2" s="2" t="n">
        <f aca="false">ROUND(G2*60,0)</f>
        <v>0</v>
      </c>
      <c r="L2" s="38" t="s">
        <v>109</v>
      </c>
      <c r="M2" s="51" t="n">
        <f aca="false">F2*IF(L2="CFO",Assumptions!$B$5,Assumptions!$B$4)+G2*Assumptions!$B$5</f>
        <v>118.75</v>
      </c>
      <c r="N2" s="45" t="n">
        <f aca="false">F2*INDEX(Assumptions!$B$8:$B$14,MATCH(E2,Assumptions!$A$8:$A$14,0))</f>
        <v>0.416666666666667</v>
      </c>
      <c r="O2" s="45" t="n">
        <f aca="false">G2*INDEX(Assumptions!$B$8:$B$14,MATCH(E2,Assumptions!$A$8:$A$14,0))</f>
        <v>0</v>
      </c>
      <c r="P2" s="52" t="s">
        <v>238</v>
      </c>
      <c r="Q2" s="53" t="s">
        <v>239</v>
      </c>
      <c r="R2" s="2" t="s">
        <v>240</v>
      </c>
    </row>
    <row r="3" customFormat="false" ht="15" hidden="false" customHeight="false" outlineLevel="0" collapsed="false">
      <c r="A3" s="2" t="s">
        <v>241</v>
      </c>
      <c r="B3" s="37" t="s">
        <v>11</v>
      </c>
      <c r="C3" s="37" t="s">
        <v>242</v>
      </c>
      <c r="D3" s="37" t="s">
        <v>14</v>
      </c>
      <c r="E3" s="37" t="s">
        <v>15</v>
      </c>
      <c r="F3" s="44" t="n">
        <v>0.5</v>
      </c>
      <c r="G3" s="44" t="n">
        <v>0.7</v>
      </c>
      <c r="H3" s="50" t="n">
        <f aca="false">F3+G3</f>
        <v>1.2</v>
      </c>
      <c r="I3" s="2" t="n">
        <f aca="false">ROUND(H3*60,0)</f>
        <v>72</v>
      </c>
      <c r="J3" s="2" t="n">
        <f aca="false">ROUND(F3*60,0)</f>
        <v>30</v>
      </c>
      <c r="K3" s="2" t="n">
        <f aca="false">ROUND(G3*60,0)</f>
        <v>42</v>
      </c>
      <c r="L3" s="38" t="s">
        <v>109</v>
      </c>
      <c r="M3" s="51" t="n">
        <f aca="false">F3*IF(L3="CFO",Assumptions!$B$5,Assumptions!$B$4)+G3*Assumptions!$B$5</f>
        <v>222.5</v>
      </c>
      <c r="N3" s="45" t="n">
        <f aca="false">F3*INDEX(Assumptions!$B$8:$B$14,MATCH(E3,Assumptions!$A$8:$A$14,0))</f>
        <v>0.5</v>
      </c>
      <c r="O3" s="45" t="n">
        <f aca="false">G3*INDEX(Assumptions!$B$8:$B$14,MATCH(E3,Assumptions!$A$8:$A$14,0))</f>
        <v>0.7</v>
      </c>
      <c r="P3" s="54" t="s">
        <v>243</v>
      </c>
      <c r="Q3" s="53" t="s">
        <v>244</v>
      </c>
      <c r="R3" s="2" t="s">
        <v>240</v>
      </c>
    </row>
    <row r="4" customFormat="false" ht="15" hidden="false" customHeight="false" outlineLevel="0" collapsed="false">
      <c r="A4" s="2" t="s">
        <v>245</v>
      </c>
      <c r="B4" s="37" t="s">
        <v>16</v>
      </c>
      <c r="C4" s="37" t="s">
        <v>170</v>
      </c>
      <c r="D4" s="37" t="s">
        <v>237</v>
      </c>
      <c r="E4" s="37" t="s">
        <v>170</v>
      </c>
      <c r="F4" s="45" t="n">
        <f aca="false">IFERROR(INDEX('1099 Oct 30'!$H$5:$H$45,MATCH(B4,'1099 Oct 30'!$A$5:$A$45,0)),0)</f>
        <v>1.25</v>
      </c>
      <c r="G4" s="44" t="n">
        <v>0</v>
      </c>
      <c r="H4" s="50" t="n">
        <f aca="false">F4+G4</f>
        <v>1.25</v>
      </c>
      <c r="I4" s="2" t="n">
        <f aca="false">ROUND(H4*60,0)</f>
        <v>75</v>
      </c>
      <c r="J4" s="2" t="n">
        <f aca="false">ROUND(F4*60,0)</f>
        <v>75</v>
      </c>
      <c r="K4" s="2" t="n">
        <f aca="false">ROUND(G4*60,0)</f>
        <v>0</v>
      </c>
      <c r="L4" s="38" t="s">
        <v>109</v>
      </c>
      <c r="M4" s="51" t="n">
        <f aca="false">F4*IF(L4="CFO",Assumptions!$B$5,Assumptions!$B$4)+G4*Assumptions!$B$5</f>
        <v>118.75</v>
      </c>
      <c r="N4" s="45" t="n">
        <f aca="false">F4*INDEX(Assumptions!$B$8:$B$14,MATCH(E4,Assumptions!$A$8:$A$14,0))</f>
        <v>0.416666666666667</v>
      </c>
      <c r="O4" s="45" t="n">
        <f aca="false">G4*INDEX(Assumptions!$B$8:$B$14,MATCH(E4,Assumptions!$A$8:$A$14,0))</f>
        <v>0</v>
      </c>
      <c r="P4" s="52" t="s">
        <v>238</v>
      </c>
      <c r="Q4" s="53" t="s">
        <v>239</v>
      </c>
      <c r="R4" s="2" t="s">
        <v>246</v>
      </c>
    </row>
    <row r="5" customFormat="false" ht="15" hidden="false" customHeight="false" outlineLevel="0" collapsed="false">
      <c r="A5" s="2" t="s">
        <v>247</v>
      </c>
      <c r="B5" s="37" t="s">
        <v>16</v>
      </c>
      <c r="C5" s="37" t="s">
        <v>248</v>
      </c>
      <c r="D5" s="37" t="s">
        <v>17</v>
      </c>
      <c r="E5" s="37" t="s">
        <v>13</v>
      </c>
      <c r="F5" s="44" t="n">
        <v>0.5</v>
      </c>
      <c r="G5" s="44" t="n">
        <v>1.25</v>
      </c>
      <c r="H5" s="50" t="n">
        <f aca="false">F5+G5</f>
        <v>1.75</v>
      </c>
      <c r="I5" s="2" t="n">
        <f aca="false">ROUND(H5*60,0)</f>
        <v>105</v>
      </c>
      <c r="J5" s="2" t="n">
        <f aca="false">ROUND(F5*60,0)</f>
        <v>30</v>
      </c>
      <c r="K5" s="2" t="n">
        <f aca="false">ROUND(G5*60,0)</f>
        <v>75</v>
      </c>
      <c r="L5" s="38" t="s">
        <v>109</v>
      </c>
      <c r="M5" s="51" t="n">
        <f aca="false">F5*IF(L5="CFO",Assumptions!$B$5,Assumptions!$B$4)+G5*Assumptions!$B$5</f>
        <v>360</v>
      </c>
      <c r="N5" s="45" t="n">
        <f aca="false">F5*INDEX(Assumptions!$B$8:$B$14,MATCH(E5,Assumptions!$A$8:$A$14,0))</f>
        <v>0.166666666666667</v>
      </c>
      <c r="O5" s="45" t="n">
        <f aca="false">G5*INDEX(Assumptions!$B$8:$B$14,MATCH(E5,Assumptions!$A$8:$A$14,0))</f>
        <v>0.416666666666667</v>
      </c>
      <c r="P5" s="54" t="s">
        <v>243</v>
      </c>
      <c r="Q5" s="53" t="s">
        <v>249</v>
      </c>
      <c r="R5" s="2" t="s">
        <v>246</v>
      </c>
    </row>
    <row r="6" customFormat="false" ht="15" hidden="false" customHeight="false" outlineLevel="0" collapsed="false">
      <c r="A6" s="2" t="s">
        <v>250</v>
      </c>
      <c r="B6" s="37" t="s">
        <v>16</v>
      </c>
      <c r="C6" s="37" t="s">
        <v>251</v>
      </c>
      <c r="D6" s="37" t="s">
        <v>18</v>
      </c>
      <c r="E6" s="37" t="s">
        <v>13</v>
      </c>
      <c r="F6" s="44" t="n">
        <v>0.5</v>
      </c>
      <c r="G6" s="44" t="n">
        <v>0</v>
      </c>
      <c r="H6" s="50" t="n">
        <f aca="false">F6+G6</f>
        <v>0.5</v>
      </c>
      <c r="I6" s="2" t="n">
        <f aca="false">ROUND(H6*60,0)</f>
        <v>30</v>
      </c>
      <c r="J6" s="2" t="n">
        <f aca="false">ROUND(F6*60,0)</f>
        <v>30</v>
      </c>
      <c r="K6" s="2" t="n">
        <f aca="false">ROUND(G6*60,0)</f>
        <v>0</v>
      </c>
      <c r="L6" s="38" t="s">
        <v>109</v>
      </c>
      <c r="M6" s="51" t="n">
        <f aca="false">F6*IF(L6="CFO",Assumptions!$B$5,Assumptions!$B$4)+G6*Assumptions!$B$5</f>
        <v>47.5</v>
      </c>
      <c r="N6" s="45" t="n">
        <f aca="false">F6*INDEX(Assumptions!$B$8:$B$14,MATCH(E6,Assumptions!$A$8:$A$14,0))</f>
        <v>0.166666666666667</v>
      </c>
      <c r="O6" s="45" t="n">
        <f aca="false">G6*INDEX(Assumptions!$B$8:$B$14,MATCH(E6,Assumptions!$A$8:$A$14,0))</f>
        <v>0</v>
      </c>
      <c r="P6" s="52" t="s">
        <v>238</v>
      </c>
      <c r="Q6" s="53" t="s">
        <v>252</v>
      </c>
      <c r="R6" s="2" t="s">
        <v>246</v>
      </c>
    </row>
    <row r="7" customFormat="false" ht="15" hidden="false" customHeight="false" outlineLevel="0" collapsed="false">
      <c r="A7" s="2" t="s">
        <v>253</v>
      </c>
      <c r="B7" s="37" t="s">
        <v>19</v>
      </c>
      <c r="C7" s="37" t="s">
        <v>254</v>
      </c>
      <c r="D7" s="37" t="s">
        <v>20</v>
      </c>
      <c r="E7" s="37" t="s">
        <v>21</v>
      </c>
      <c r="F7" s="44" t="n">
        <v>1</v>
      </c>
      <c r="G7" s="44" t="n">
        <v>0</v>
      </c>
      <c r="H7" s="50" t="n">
        <f aca="false">F7+G7</f>
        <v>1</v>
      </c>
      <c r="I7" s="2" t="n">
        <f aca="false">ROUND(H7*60,0)</f>
        <v>60</v>
      </c>
      <c r="J7" s="2" t="n">
        <f aca="false">ROUND(F7*60,0)</f>
        <v>60</v>
      </c>
      <c r="K7" s="2" t="n">
        <f aca="false">ROUND(G7*60,0)</f>
        <v>0</v>
      </c>
      <c r="L7" s="38" t="s">
        <v>109</v>
      </c>
      <c r="M7" s="51" t="n">
        <f aca="false">F7*IF(L7="CFO",Assumptions!$B$5,Assumptions!$B$4)+G7*Assumptions!$B$5</f>
        <v>95</v>
      </c>
      <c r="N7" s="45" t="n">
        <f aca="false">F7*INDEX(Assumptions!$B$8:$B$14,MATCH(E7,Assumptions!$A$8:$A$14,0))</f>
        <v>0.0833333333333333</v>
      </c>
      <c r="O7" s="45" t="n">
        <f aca="false">G7*INDEX(Assumptions!$B$8:$B$14,MATCH(E7,Assumptions!$A$8:$A$14,0))</f>
        <v>0</v>
      </c>
      <c r="P7" s="52" t="s">
        <v>238</v>
      </c>
      <c r="Q7" s="53" t="s">
        <v>255</v>
      </c>
      <c r="R7" s="2" t="s">
        <v>256</v>
      </c>
    </row>
    <row r="8" customFormat="false" ht="15" hidden="false" customHeight="false" outlineLevel="0" collapsed="false">
      <c r="A8" s="2" t="s">
        <v>257</v>
      </c>
      <c r="B8" s="37" t="s">
        <v>22</v>
      </c>
      <c r="C8" s="37" t="s">
        <v>170</v>
      </c>
      <c r="D8" s="37" t="s">
        <v>237</v>
      </c>
      <c r="E8" s="37" t="s">
        <v>170</v>
      </c>
      <c r="F8" s="45" t="n">
        <f aca="false">IFERROR(INDEX('1099 Oct 30'!$H$5:$H$45,MATCH(B8,'1099 Oct 30'!$A$5:$A$45,0)),0)</f>
        <v>1.25</v>
      </c>
      <c r="G8" s="44" t="n">
        <v>0</v>
      </c>
      <c r="H8" s="50" t="n">
        <f aca="false">F8+G8</f>
        <v>1.25</v>
      </c>
      <c r="I8" s="2" t="n">
        <f aca="false">ROUND(H8*60,0)</f>
        <v>75</v>
      </c>
      <c r="J8" s="2" t="n">
        <f aca="false">ROUND(F8*60,0)</f>
        <v>75</v>
      </c>
      <c r="K8" s="2" t="n">
        <f aca="false">ROUND(G8*60,0)</f>
        <v>0</v>
      </c>
      <c r="L8" s="38" t="s">
        <v>109</v>
      </c>
      <c r="M8" s="51" t="n">
        <f aca="false">F8*IF(L8="CFO",Assumptions!$B$5,Assumptions!$B$4)+G8*Assumptions!$B$5</f>
        <v>118.75</v>
      </c>
      <c r="N8" s="45" t="n">
        <f aca="false">F8*INDEX(Assumptions!$B$8:$B$14,MATCH(E8,Assumptions!$A$8:$A$14,0))</f>
        <v>0.416666666666667</v>
      </c>
      <c r="O8" s="45" t="n">
        <f aca="false">G8*INDEX(Assumptions!$B$8:$B$14,MATCH(E8,Assumptions!$A$8:$A$14,0))</f>
        <v>0</v>
      </c>
      <c r="P8" s="52" t="s">
        <v>238</v>
      </c>
      <c r="Q8" s="53" t="s">
        <v>239</v>
      </c>
      <c r="R8" s="2" t="s">
        <v>258</v>
      </c>
    </row>
    <row r="9" customFormat="false" ht="15" hidden="false" customHeight="false" outlineLevel="0" collapsed="false">
      <c r="A9" s="2" t="s">
        <v>259</v>
      </c>
      <c r="B9" s="37" t="s">
        <v>22</v>
      </c>
      <c r="C9" s="37" t="s">
        <v>242</v>
      </c>
      <c r="D9" s="37" t="s">
        <v>14</v>
      </c>
      <c r="E9" s="37" t="s">
        <v>15</v>
      </c>
      <c r="F9" s="44" t="n">
        <v>2.25</v>
      </c>
      <c r="G9" s="44" t="n">
        <v>0.7</v>
      </c>
      <c r="H9" s="50" t="n">
        <f aca="false">F9+G9</f>
        <v>2.95</v>
      </c>
      <c r="I9" s="2" t="n">
        <f aca="false">ROUND(H9*60,0)</f>
        <v>177</v>
      </c>
      <c r="J9" s="2" t="n">
        <f aca="false">ROUND(F9*60,0)</f>
        <v>135</v>
      </c>
      <c r="K9" s="2" t="n">
        <f aca="false">ROUND(G9*60,0)</f>
        <v>42</v>
      </c>
      <c r="L9" s="38" t="s">
        <v>109</v>
      </c>
      <c r="M9" s="51" t="n">
        <f aca="false">F9*IF(L9="CFO",Assumptions!$B$5,Assumptions!$B$4)+G9*Assumptions!$B$5</f>
        <v>388.75</v>
      </c>
      <c r="N9" s="45" t="n">
        <f aca="false">F9*INDEX(Assumptions!$B$8:$B$14,MATCH(E9,Assumptions!$A$8:$A$14,0))</f>
        <v>2.25</v>
      </c>
      <c r="O9" s="45" t="n">
        <f aca="false">G9*INDEX(Assumptions!$B$8:$B$14,MATCH(E9,Assumptions!$A$8:$A$14,0))</f>
        <v>0.7</v>
      </c>
      <c r="P9" s="54" t="s">
        <v>243</v>
      </c>
      <c r="Q9" s="53" t="s">
        <v>260</v>
      </c>
      <c r="R9" s="2" t="s">
        <v>258</v>
      </c>
    </row>
    <row r="10" customFormat="false" ht="15" hidden="false" customHeight="false" outlineLevel="0" collapsed="false">
      <c r="A10" s="2" t="s">
        <v>261</v>
      </c>
      <c r="B10" s="37" t="s">
        <v>23</v>
      </c>
      <c r="C10" s="37" t="s">
        <v>170</v>
      </c>
      <c r="D10" s="37" t="s">
        <v>237</v>
      </c>
      <c r="E10" s="37" t="s">
        <v>170</v>
      </c>
      <c r="F10" s="45" t="n">
        <f aca="false">IFERROR(INDEX('1099 Oct 30'!$H$5:$H$45,MATCH(B10,'1099 Oct 30'!$A$5:$A$45,0)),0)</f>
        <v>1.25</v>
      </c>
      <c r="G10" s="44" t="n">
        <v>0</v>
      </c>
      <c r="H10" s="50" t="n">
        <f aca="false">F10+G10</f>
        <v>1.25</v>
      </c>
      <c r="I10" s="2" t="n">
        <f aca="false">ROUND(H10*60,0)</f>
        <v>75</v>
      </c>
      <c r="J10" s="2" t="n">
        <f aca="false">ROUND(F10*60,0)</f>
        <v>75</v>
      </c>
      <c r="K10" s="2" t="n">
        <f aca="false">ROUND(G10*60,0)</f>
        <v>0</v>
      </c>
      <c r="L10" s="38" t="s">
        <v>109</v>
      </c>
      <c r="M10" s="51" t="n">
        <f aca="false">F10*IF(L10="CFO",Assumptions!$B$5,Assumptions!$B$4)+G10*Assumptions!$B$5</f>
        <v>118.75</v>
      </c>
      <c r="N10" s="45" t="n">
        <f aca="false">F10*INDEX(Assumptions!$B$8:$B$14,MATCH(E10,Assumptions!$A$8:$A$14,0))</f>
        <v>0.416666666666667</v>
      </c>
      <c r="O10" s="45" t="n">
        <f aca="false">G10*INDEX(Assumptions!$B$8:$B$14,MATCH(E10,Assumptions!$A$8:$A$14,0))</f>
        <v>0</v>
      </c>
      <c r="P10" s="52" t="s">
        <v>238</v>
      </c>
      <c r="Q10" s="53" t="s">
        <v>239</v>
      </c>
      <c r="R10" s="2" t="s">
        <v>262</v>
      </c>
    </row>
    <row r="11" customFormat="false" ht="15" hidden="false" customHeight="false" outlineLevel="0" collapsed="false">
      <c r="A11" s="2" t="s">
        <v>263</v>
      </c>
      <c r="B11" s="37" t="s">
        <v>23</v>
      </c>
      <c r="C11" s="37" t="s">
        <v>242</v>
      </c>
      <c r="D11" s="37" t="s">
        <v>14</v>
      </c>
      <c r="E11" s="37" t="s">
        <v>15</v>
      </c>
      <c r="F11" s="44" t="n">
        <v>0.8333</v>
      </c>
      <c r="G11" s="44" t="n">
        <v>0.7</v>
      </c>
      <c r="H11" s="50" t="n">
        <f aca="false">F11+G11</f>
        <v>1.5333</v>
      </c>
      <c r="I11" s="2" t="n">
        <f aca="false">ROUND(H11*60,0)</f>
        <v>92</v>
      </c>
      <c r="J11" s="2" t="n">
        <f aca="false">ROUND(F11*60,0)</f>
        <v>50</v>
      </c>
      <c r="K11" s="2" t="n">
        <f aca="false">ROUND(G11*60,0)</f>
        <v>42</v>
      </c>
      <c r="L11" s="38" t="s">
        <v>109</v>
      </c>
      <c r="M11" s="51" t="n">
        <f aca="false">F11*IF(L11="CFO",Assumptions!$B$5,Assumptions!$B$4)+G11*Assumptions!$B$5</f>
        <v>254.1635</v>
      </c>
      <c r="N11" s="45" t="n">
        <f aca="false">F11*INDEX(Assumptions!$B$8:$B$14,MATCH(E11,Assumptions!$A$8:$A$14,0))</f>
        <v>0.8333</v>
      </c>
      <c r="O11" s="45" t="n">
        <f aca="false">G11*INDEX(Assumptions!$B$8:$B$14,MATCH(E11,Assumptions!$A$8:$A$14,0))</f>
        <v>0.7</v>
      </c>
      <c r="P11" s="54" t="s">
        <v>243</v>
      </c>
      <c r="Q11" s="53" t="s">
        <v>264</v>
      </c>
      <c r="R11" s="2" t="s">
        <v>262</v>
      </c>
    </row>
    <row r="12" customFormat="false" ht="15" hidden="false" customHeight="false" outlineLevel="0" collapsed="false">
      <c r="A12" s="2" t="s">
        <v>265</v>
      </c>
      <c r="B12" s="37" t="s">
        <v>24</v>
      </c>
      <c r="C12" s="37" t="s">
        <v>170</v>
      </c>
      <c r="D12" s="37" t="s">
        <v>237</v>
      </c>
      <c r="E12" s="37" t="s">
        <v>170</v>
      </c>
      <c r="F12" s="45" t="n">
        <f aca="false">IFERROR(INDEX('1099 Oct 30'!$H$5:$H$45,MATCH(B12,'1099 Oct 30'!$A$5:$A$45,0)),0)</f>
        <v>0.75</v>
      </c>
      <c r="G12" s="44" t="n">
        <v>0</v>
      </c>
      <c r="H12" s="50" t="n">
        <f aca="false">F12+G12</f>
        <v>0.75</v>
      </c>
      <c r="I12" s="2" t="n">
        <f aca="false">ROUND(H12*60,0)</f>
        <v>45</v>
      </c>
      <c r="J12" s="2" t="n">
        <f aca="false">ROUND(F12*60,0)</f>
        <v>45</v>
      </c>
      <c r="K12" s="2" t="n">
        <f aca="false">ROUND(G12*60,0)</f>
        <v>0</v>
      </c>
      <c r="L12" s="38" t="s">
        <v>109</v>
      </c>
      <c r="M12" s="51" t="n">
        <f aca="false">F12*IF(L12="CFO",Assumptions!$B$5,Assumptions!$B$4)+G12*Assumptions!$B$5</f>
        <v>71.25</v>
      </c>
      <c r="N12" s="45" t="n">
        <f aca="false">F12*INDEX(Assumptions!$B$8:$B$14,MATCH(E12,Assumptions!$A$8:$A$14,0))</f>
        <v>0.25</v>
      </c>
      <c r="O12" s="45" t="n">
        <f aca="false">G12*INDEX(Assumptions!$B$8:$B$14,MATCH(E12,Assumptions!$A$8:$A$14,0))</f>
        <v>0</v>
      </c>
      <c r="P12" s="52" t="s">
        <v>238</v>
      </c>
      <c r="Q12" s="53" t="s">
        <v>266</v>
      </c>
      <c r="R12" s="2" t="s">
        <v>262</v>
      </c>
    </row>
    <row r="13" customFormat="false" ht="15" hidden="false" customHeight="false" outlineLevel="0" collapsed="false">
      <c r="A13" s="2" t="s">
        <v>267</v>
      </c>
      <c r="B13" s="37" t="s">
        <v>24</v>
      </c>
      <c r="C13" s="37" t="s">
        <v>242</v>
      </c>
      <c r="D13" s="37" t="s">
        <v>14</v>
      </c>
      <c r="E13" s="37" t="s">
        <v>15</v>
      </c>
      <c r="F13" s="44" t="n">
        <v>1.1667</v>
      </c>
      <c r="G13" s="44" t="n">
        <v>0.7</v>
      </c>
      <c r="H13" s="50" t="n">
        <f aca="false">F13+G13</f>
        <v>1.8667</v>
      </c>
      <c r="I13" s="2" t="n">
        <f aca="false">ROUND(H13*60,0)</f>
        <v>112</v>
      </c>
      <c r="J13" s="2" t="n">
        <f aca="false">ROUND(F13*60,0)</f>
        <v>70</v>
      </c>
      <c r="K13" s="2" t="n">
        <f aca="false">ROUND(G13*60,0)</f>
        <v>42</v>
      </c>
      <c r="L13" s="38" t="s">
        <v>109</v>
      </c>
      <c r="M13" s="51" t="n">
        <f aca="false">F13*IF(L13="CFO",Assumptions!$B$5,Assumptions!$B$4)+G13*Assumptions!$B$5</f>
        <v>285.8365</v>
      </c>
      <c r="N13" s="45" t="n">
        <f aca="false">F13*INDEX(Assumptions!$B$8:$B$14,MATCH(E13,Assumptions!$A$8:$A$14,0))</f>
        <v>1.1667</v>
      </c>
      <c r="O13" s="45" t="n">
        <f aca="false">G13*INDEX(Assumptions!$B$8:$B$14,MATCH(E13,Assumptions!$A$8:$A$14,0))</f>
        <v>0.7</v>
      </c>
      <c r="P13" s="54" t="s">
        <v>243</v>
      </c>
      <c r="Q13" s="53" t="s">
        <v>268</v>
      </c>
      <c r="R13" s="2" t="s">
        <v>262</v>
      </c>
    </row>
    <row r="14" customFormat="false" ht="15" hidden="false" customHeight="false" outlineLevel="0" collapsed="false">
      <c r="A14" s="2" t="s">
        <v>269</v>
      </c>
      <c r="B14" s="37" t="s">
        <v>25</v>
      </c>
      <c r="C14" s="37" t="s">
        <v>170</v>
      </c>
      <c r="D14" s="37" t="s">
        <v>237</v>
      </c>
      <c r="E14" s="37" t="s">
        <v>170</v>
      </c>
      <c r="F14" s="45" t="n">
        <f aca="false">IFERROR(INDEX('1099 Oct 30'!$H$5:$H$45,MATCH(B14,'1099 Oct 30'!$A$5:$A$45,0)),0)</f>
        <v>0.375</v>
      </c>
      <c r="G14" s="44" t="n">
        <v>0</v>
      </c>
      <c r="H14" s="50" t="n">
        <f aca="false">F14+G14</f>
        <v>0.375</v>
      </c>
      <c r="I14" s="2" t="n">
        <f aca="false">ROUND(H14*60,0)</f>
        <v>23</v>
      </c>
      <c r="J14" s="2" t="n">
        <f aca="false">ROUND(F14*60,0)</f>
        <v>23</v>
      </c>
      <c r="K14" s="2" t="n">
        <f aca="false">ROUND(G14*60,0)</f>
        <v>0</v>
      </c>
      <c r="L14" s="38" t="s">
        <v>109</v>
      </c>
      <c r="M14" s="51" t="n">
        <f aca="false">F14*IF(L14="CFO",Assumptions!$B$5,Assumptions!$B$4)+G14*Assumptions!$B$5</f>
        <v>35.625</v>
      </c>
      <c r="N14" s="45" t="n">
        <f aca="false">F14*INDEX(Assumptions!$B$8:$B$14,MATCH(E14,Assumptions!$A$8:$A$14,0))</f>
        <v>0.125</v>
      </c>
      <c r="O14" s="45" t="n">
        <f aca="false">G14*INDEX(Assumptions!$B$8:$B$14,MATCH(E14,Assumptions!$A$8:$A$14,0))</f>
        <v>0</v>
      </c>
      <c r="P14" s="52" t="s">
        <v>238</v>
      </c>
      <c r="Q14" s="53" t="s">
        <v>270</v>
      </c>
      <c r="R14" s="2" t="s">
        <v>271</v>
      </c>
    </row>
    <row r="15" customFormat="false" ht="15" hidden="false" customHeight="false" outlineLevel="0" collapsed="false">
      <c r="A15" s="2" t="s">
        <v>272</v>
      </c>
      <c r="B15" s="37" t="s">
        <v>25</v>
      </c>
      <c r="C15" s="37" t="s">
        <v>242</v>
      </c>
      <c r="D15" s="37" t="s">
        <v>14</v>
      </c>
      <c r="E15" s="37" t="s">
        <v>15</v>
      </c>
      <c r="F15" s="44" t="n">
        <v>0.75</v>
      </c>
      <c r="G15" s="44" t="n">
        <v>0.3833</v>
      </c>
      <c r="H15" s="50" t="n">
        <f aca="false">F15+G15</f>
        <v>1.1333</v>
      </c>
      <c r="I15" s="2" t="n">
        <f aca="false">ROUND(H15*60,0)</f>
        <v>68</v>
      </c>
      <c r="J15" s="2" t="n">
        <f aca="false">ROUND(F15*60,0)</f>
        <v>45</v>
      </c>
      <c r="K15" s="2" t="n">
        <f aca="false">ROUND(G15*60,0)</f>
        <v>23</v>
      </c>
      <c r="L15" s="38" t="s">
        <v>109</v>
      </c>
      <c r="M15" s="51" t="n">
        <f aca="false">F15*IF(L15="CFO",Assumptions!$B$5,Assumptions!$B$4)+G15*Assumptions!$B$5</f>
        <v>167.075</v>
      </c>
      <c r="N15" s="45" t="n">
        <f aca="false">F15*INDEX(Assumptions!$B$8:$B$14,MATCH(E15,Assumptions!$A$8:$A$14,0))</f>
        <v>0.75</v>
      </c>
      <c r="O15" s="45" t="n">
        <f aca="false">G15*INDEX(Assumptions!$B$8:$B$14,MATCH(E15,Assumptions!$A$8:$A$14,0))</f>
        <v>0.3833</v>
      </c>
      <c r="P15" s="55" t="s">
        <v>273</v>
      </c>
      <c r="Q15" s="53" t="s">
        <v>274</v>
      </c>
      <c r="R15" s="2" t="s">
        <v>271</v>
      </c>
    </row>
    <row r="16" customFormat="false" ht="15" hidden="false" customHeight="false" outlineLevel="0" collapsed="false">
      <c r="A16" s="2" t="s">
        <v>275</v>
      </c>
      <c r="B16" s="37" t="s">
        <v>26</v>
      </c>
      <c r="C16" s="37" t="s">
        <v>170</v>
      </c>
      <c r="D16" s="37" t="s">
        <v>237</v>
      </c>
      <c r="E16" s="37" t="s">
        <v>170</v>
      </c>
      <c r="F16" s="45" t="n">
        <f aca="false">IFERROR(INDEX('1099 Oct 30'!$H$5:$H$45,MATCH(B16,'1099 Oct 30'!$A$5:$A$45,0)),0)</f>
        <v>0.375</v>
      </c>
      <c r="G16" s="44" t="n">
        <v>0</v>
      </c>
      <c r="H16" s="50" t="n">
        <f aca="false">F16+G16</f>
        <v>0.375</v>
      </c>
      <c r="I16" s="2" t="n">
        <f aca="false">ROUND(H16*60,0)</f>
        <v>23</v>
      </c>
      <c r="J16" s="2" t="n">
        <f aca="false">ROUND(F16*60,0)</f>
        <v>23</v>
      </c>
      <c r="K16" s="2" t="n">
        <f aca="false">ROUND(G16*60,0)</f>
        <v>0</v>
      </c>
      <c r="L16" s="38" t="s">
        <v>109</v>
      </c>
      <c r="M16" s="51" t="n">
        <f aca="false">F16*IF(L16="CFO",Assumptions!$B$5,Assumptions!$B$4)+G16*Assumptions!$B$5</f>
        <v>35.625</v>
      </c>
      <c r="N16" s="45" t="n">
        <f aca="false">F16*INDEX(Assumptions!$B$8:$B$14,MATCH(E16,Assumptions!$A$8:$A$14,0))</f>
        <v>0.125</v>
      </c>
      <c r="O16" s="45" t="n">
        <f aca="false">G16*INDEX(Assumptions!$B$8:$B$14,MATCH(E16,Assumptions!$A$8:$A$14,0))</f>
        <v>0</v>
      </c>
      <c r="P16" s="22" t="s">
        <v>276</v>
      </c>
      <c r="Q16" s="53" t="s">
        <v>277</v>
      </c>
      <c r="R16" s="2" t="s">
        <v>240</v>
      </c>
    </row>
    <row r="17" customFormat="false" ht="15" hidden="false" customHeight="false" outlineLevel="0" collapsed="false">
      <c r="A17" s="2" t="s">
        <v>278</v>
      </c>
      <c r="B17" s="37" t="s">
        <v>26</v>
      </c>
      <c r="C17" s="37" t="s">
        <v>242</v>
      </c>
      <c r="D17" s="37" t="s">
        <v>14</v>
      </c>
      <c r="E17" s="37" t="s">
        <v>15</v>
      </c>
      <c r="F17" s="44" t="n">
        <v>1.25</v>
      </c>
      <c r="G17" s="44" t="n">
        <v>0.4833</v>
      </c>
      <c r="H17" s="50" t="n">
        <f aca="false">F17+G17</f>
        <v>1.7333</v>
      </c>
      <c r="I17" s="2" t="n">
        <f aca="false">ROUND(H17*60,0)</f>
        <v>104</v>
      </c>
      <c r="J17" s="2" t="n">
        <f aca="false">ROUND(F17*60,0)</f>
        <v>75</v>
      </c>
      <c r="K17" s="2" t="n">
        <f aca="false">ROUND(G17*60,0)</f>
        <v>29</v>
      </c>
      <c r="L17" s="38" t="s">
        <v>109</v>
      </c>
      <c r="M17" s="51" t="n">
        <f aca="false">F17*IF(L17="CFO",Assumptions!$B$5,Assumptions!$B$4)+G17*Assumptions!$B$5</f>
        <v>239.575</v>
      </c>
      <c r="N17" s="45" t="n">
        <f aca="false">F17*INDEX(Assumptions!$B$8:$B$14,MATCH(E17,Assumptions!$A$8:$A$14,0))</f>
        <v>1.25</v>
      </c>
      <c r="O17" s="45" t="n">
        <f aca="false">G17*INDEX(Assumptions!$B$8:$B$14,MATCH(E17,Assumptions!$A$8:$A$14,0))</f>
        <v>0.4833</v>
      </c>
      <c r="P17" s="22" t="s">
        <v>276</v>
      </c>
      <c r="Q17" s="53" t="s">
        <v>279</v>
      </c>
      <c r="R17" s="2" t="s">
        <v>240</v>
      </c>
    </row>
    <row r="18" customFormat="false" ht="15" hidden="false" customHeight="false" outlineLevel="0" collapsed="false">
      <c r="A18" s="2" t="s">
        <v>280</v>
      </c>
      <c r="B18" s="37" t="s">
        <v>27</v>
      </c>
      <c r="C18" s="37" t="s">
        <v>170</v>
      </c>
      <c r="D18" s="37" t="s">
        <v>237</v>
      </c>
      <c r="E18" s="37" t="s">
        <v>170</v>
      </c>
      <c r="F18" s="45" t="n">
        <f aca="false">IFERROR(INDEX('1099 Oct 30'!$H$5:$H$45,MATCH(B18,'1099 Oct 30'!$A$5:$A$45,0)),0)</f>
        <v>0.75</v>
      </c>
      <c r="G18" s="44" t="n">
        <v>0</v>
      </c>
      <c r="H18" s="50" t="n">
        <f aca="false">F18+G18</f>
        <v>0.75</v>
      </c>
      <c r="I18" s="2" t="n">
        <f aca="false">ROUND(H18*60,0)</f>
        <v>45</v>
      </c>
      <c r="J18" s="2" t="n">
        <f aca="false">ROUND(F18*60,0)</f>
        <v>45</v>
      </c>
      <c r="K18" s="2" t="n">
        <f aca="false">ROUND(G18*60,0)</f>
        <v>0</v>
      </c>
      <c r="L18" s="38" t="s">
        <v>109</v>
      </c>
      <c r="M18" s="51" t="n">
        <f aca="false">F18*IF(L18="CFO",Assumptions!$B$5,Assumptions!$B$4)+G18*Assumptions!$B$5</f>
        <v>71.25</v>
      </c>
      <c r="N18" s="45" t="n">
        <f aca="false">F18*INDEX(Assumptions!$B$8:$B$14,MATCH(E18,Assumptions!$A$8:$A$14,0))</f>
        <v>0.25</v>
      </c>
      <c r="O18" s="45" t="n">
        <f aca="false">G18*INDEX(Assumptions!$B$8:$B$14,MATCH(E18,Assumptions!$A$8:$A$14,0))</f>
        <v>0</v>
      </c>
      <c r="P18" s="52" t="s">
        <v>238</v>
      </c>
      <c r="Q18" s="53" t="s">
        <v>266</v>
      </c>
      <c r="R18" s="2" t="s">
        <v>258</v>
      </c>
    </row>
    <row r="19" customFormat="false" ht="15" hidden="false" customHeight="false" outlineLevel="0" collapsed="false">
      <c r="A19" s="2" t="s">
        <v>281</v>
      </c>
      <c r="B19" s="37" t="s">
        <v>27</v>
      </c>
      <c r="C19" s="37" t="s">
        <v>282</v>
      </c>
      <c r="D19" s="37" t="s">
        <v>28</v>
      </c>
      <c r="E19" s="37" t="s">
        <v>21</v>
      </c>
      <c r="F19" s="44" t="n">
        <v>5.6667</v>
      </c>
      <c r="G19" s="44" t="n">
        <v>0</v>
      </c>
      <c r="H19" s="50" t="n">
        <f aca="false">F19+G19</f>
        <v>5.6667</v>
      </c>
      <c r="I19" s="2" t="n">
        <f aca="false">ROUND(H19*60,0)</f>
        <v>340</v>
      </c>
      <c r="J19" s="2" t="n">
        <f aca="false">ROUND(F19*60,0)</f>
        <v>340</v>
      </c>
      <c r="K19" s="2" t="n">
        <f aca="false">ROUND(G19*60,0)</f>
        <v>0</v>
      </c>
      <c r="L19" s="38" t="s">
        <v>109</v>
      </c>
      <c r="M19" s="51" t="n">
        <f aca="false">F19*IF(L19="CFO",Assumptions!$B$5,Assumptions!$B$4)+G19*Assumptions!$B$5</f>
        <v>538.3365</v>
      </c>
      <c r="N19" s="45" t="n">
        <f aca="false">F19*INDEX(Assumptions!$B$8:$B$14,MATCH(E19,Assumptions!$A$8:$A$14,0))</f>
        <v>0.472225</v>
      </c>
      <c r="O19" s="45" t="n">
        <f aca="false">G19*INDEX(Assumptions!$B$8:$B$14,MATCH(E19,Assumptions!$A$8:$A$14,0))</f>
        <v>0</v>
      </c>
      <c r="P19" s="54" t="s">
        <v>243</v>
      </c>
      <c r="Q19" s="53" t="s">
        <v>283</v>
      </c>
      <c r="R19" s="2" t="s">
        <v>258</v>
      </c>
    </row>
    <row r="20" customFormat="false" ht="15" hidden="false" customHeight="false" outlineLevel="0" collapsed="false">
      <c r="A20" s="2" t="s">
        <v>284</v>
      </c>
      <c r="B20" s="37" t="s">
        <v>27</v>
      </c>
      <c r="C20" s="37" t="s">
        <v>242</v>
      </c>
      <c r="D20" s="37" t="s">
        <v>14</v>
      </c>
      <c r="E20" s="37" t="s">
        <v>15</v>
      </c>
      <c r="F20" s="44" t="n">
        <v>16.1667</v>
      </c>
      <c r="G20" s="44" t="n">
        <v>1</v>
      </c>
      <c r="H20" s="50" t="n">
        <f aca="false">F20+G20</f>
        <v>17.1667</v>
      </c>
      <c r="I20" s="2" t="n">
        <f aca="false">ROUND(H20*60,0)</f>
        <v>1030</v>
      </c>
      <c r="J20" s="2" t="n">
        <f aca="false">ROUND(F20*60,0)</f>
        <v>970</v>
      </c>
      <c r="K20" s="2" t="n">
        <f aca="false">ROUND(G20*60,0)</f>
        <v>60</v>
      </c>
      <c r="L20" s="38" t="s">
        <v>109</v>
      </c>
      <c r="M20" s="51" t="n">
        <f aca="false">F20*IF(L20="CFO",Assumptions!$B$5,Assumptions!$B$4)+G20*Assumptions!$B$5</f>
        <v>1785.8365</v>
      </c>
      <c r="N20" s="45" t="n">
        <f aca="false">F20*INDEX(Assumptions!$B$8:$B$14,MATCH(E20,Assumptions!$A$8:$A$14,0))</f>
        <v>16.1667</v>
      </c>
      <c r="O20" s="45" t="n">
        <f aca="false">G20*INDEX(Assumptions!$B$8:$B$14,MATCH(E20,Assumptions!$A$8:$A$14,0))</f>
        <v>1</v>
      </c>
      <c r="P20" s="54" t="s">
        <v>243</v>
      </c>
      <c r="Q20" s="53" t="s">
        <v>285</v>
      </c>
      <c r="R20" s="2" t="s">
        <v>258</v>
      </c>
    </row>
    <row r="21" customFormat="false" ht="15" hidden="false" customHeight="false" outlineLevel="0" collapsed="false">
      <c r="A21" s="2" t="s">
        <v>286</v>
      </c>
      <c r="B21" s="37" t="s">
        <v>27</v>
      </c>
      <c r="C21" s="37" t="s">
        <v>287</v>
      </c>
      <c r="D21" s="37" t="s">
        <v>29</v>
      </c>
      <c r="E21" s="37" t="s">
        <v>30</v>
      </c>
      <c r="F21" s="44" t="n">
        <v>1.8333</v>
      </c>
      <c r="G21" s="44" t="n">
        <v>0</v>
      </c>
      <c r="H21" s="50" t="n">
        <f aca="false">F21+G21</f>
        <v>1.8333</v>
      </c>
      <c r="I21" s="2" t="n">
        <f aca="false">ROUND(H21*60,0)</f>
        <v>110</v>
      </c>
      <c r="J21" s="2" t="n">
        <f aca="false">ROUND(F21*60,0)</f>
        <v>110</v>
      </c>
      <c r="K21" s="2" t="n">
        <f aca="false">ROUND(G21*60,0)</f>
        <v>0</v>
      </c>
      <c r="L21" s="38" t="s">
        <v>109</v>
      </c>
      <c r="M21" s="51" t="n">
        <f aca="false">F21*IF(L21="CFO",Assumptions!$B$5,Assumptions!$B$4)+G21*Assumptions!$B$5</f>
        <v>174.1635</v>
      </c>
      <c r="N21" s="45" t="n">
        <f aca="false">F21*INDEX(Assumptions!$B$8:$B$14,MATCH(E21,Assumptions!$A$8:$A$14,0))</f>
        <v>7.9443</v>
      </c>
      <c r="O21" s="45" t="n">
        <f aca="false">G21*INDEX(Assumptions!$B$8:$B$14,MATCH(E21,Assumptions!$A$8:$A$14,0))</f>
        <v>0</v>
      </c>
      <c r="P21" s="54" t="s">
        <v>243</v>
      </c>
      <c r="Q21" s="53" t="s">
        <v>288</v>
      </c>
      <c r="R21" s="2" t="s">
        <v>258</v>
      </c>
    </row>
    <row r="22" customFormat="false" ht="15" hidden="false" customHeight="false" outlineLevel="0" collapsed="false">
      <c r="A22" s="2" t="s">
        <v>289</v>
      </c>
      <c r="B22" s="37" t="s">
        <v>31</v>
      </c>
      <c r="C22" s="37" t="s">
        <v>170</v>
      </c>
      <c r="D22" s="37" t="s">
        <v>237</v>
      </c>
      <c r="E22" s="37" t="s">
        <v>170</v>
      </c>
      <c r="F22" s="45" t="n">
        <f aca="false">IFERROR(INDEX('1099 Oct 30'!$H$5:$H$45,MATCH(B22,'1099 Oct 30'!$A$5:$A$45,0)),0)</f>
        <v>2</v>
      </c>
      <c r="G22" s="44" t="n">
        <v>0</v>
      </c>
      <c r="H22" s="50" t="n">
        <f aca="false">F22+G22</f>
        <v>2</v>
      </c>
      <c r="I22" s="2" t="n">
        <f aca="false">ROUND(H22*60,0)</f>
        <v>120</v>
      </c>
      <c r="J22" s="2" t="n">
        <f aca="false">ROUND(F22*60,0)</f>
        <v>120</v>
      </c>
      <c r="K22" s="2" t="n">
        <f aca="false">ROUND(G22*60,0)</f>
        <v>0</v>
      </c>
      <c r="L22" s="38" t="s">
        <v>109</v>
      </c>
      <c r="M22" s="51" t="n">
        <f aca="false">F22*IF(L22="CFO",Assumptions!$B$5,Assumptions!$B$4)+G22*Assumptions!$B$5</f>
        <v>190</v>
      </c>
      <c r="N22" s="45" t="n">
        <f aca="false">F22*INDEX(Assumptions!$B$8:$B$14,MATCH(E22,Assumptions!$A$8:$A$14,0))</f>
        <v>0.666666666666667</v>
      </c>
      <c r="O22" s="45" t="n">
        <f aca="false">G22*INDEX(Assumptions!$B$8:$B$14,MATCH(E22,Assumptions!$A$8:$A$14,0))</f>
        <v>0</v>
      </c>
      <c r="P22" s="52" t="s">
        <v>238</v>
      </c>
      <c r="Q22" s="53" t="s">
        <v>290</v>
      </c>
      <c r="R22" s="2" t="s">
        <v>271</v>
      </c>
    </row>
    <row r="23" customFormat="false" ht="15" hidden="false" customHeight="false" outlineLevel="0" collapsed="false">
      <c r="A23" s="2" t="s">
        <v>291</v>
      </c>
      <c r="B23" s="37" t="s">
        <v>31</v>
      </c>
      <c r="C23" s="37" t="s">
        <v>242</v>
      </c>
      <c r="D23" s="37" t="s">
        <v>14</v>
      </c>
      <c r="E23" s="37" t="s">
        <v>15</v>
      </c>
      <c r="F23" s="44" t="n">
        <v>0.75</v>
      </c>
      <c r="G23" s="44" t="n">
        <v>0.5</v>
      </c>
      <c r="H23" s="50" t="n">
        <f aca="false">F23+G23</f>
        <v>1.25</v>
      </c>
      <c r="I23" s="2" t="n">
        <f aca="false">ROUND(H23*60,0)</f>
        <v>75</v>
      </c>
      <c r="J23" s="2" t="n">
        <f aca="false">ROUND(F23*60,0)</f>
        <v>45</v>
      </c>
      <c r="K23" s="2" t="n">
        <f aca="false">ROUND(G23*60,0)</f>
        <v>30</v>
      </c>
      <c r="L23" s="38" t="s">
        <v>109</v>
      </c>
      <c r="M23" s="51" t="n">
        <f aca="false">F23*IF(L23="CFO",Assumptions!$B$5,Assumptions!$B$4)+G23*Assumptions!$B$5</f>
        <v>196.25</v>
      </c>
      <c r="N23" s="45" t="n">
        <f aca="false">F23*INDEX(Assumptions!$B$8:$B$14,MATCH(E23,Assumptions!$A$8:$A$14,0))</f>
        <v>0.75</v>
      </c>
      <c r="O23" s="45" t="n">
        <f aca="false">G23*INDEX(Assumptions!$B$8:$B$14,MATCH(E23,Assumptions!$A$8:$A$14,0))</f>
        <v>0.5</v>
      </c>
      <c r="P23" s="54" t="s">
        <v>243</v>
      </c>
      <c r="Q23" s="53" t="s">
        <v>292</v>
      </c>
      <c r="R23" s="2" t="s">
        <v>271</v>
      </c>
    </row>
    <row r="24" customFormat="false" ht="15" hidden="false" customHeight="false" outlineLevel="0" collapsed="false">
      <c r="A24" s="2" t="s">
        <v>293</v>
      </c>
      <c r="B24" s="37" t="s">
        <v>32</v>
      </c>
      <c r="C24" s="37" t="s">
        <v>282</v>
      </c>
      <c r="D24" s="37" t="s">
        <v>28</v>
      </c>
      <c r="E24" s="37" t="s">
        <v>21</v>
      </c>
      <c r="F24" s="44" t="n">
        <v>0.5</v>
      </c>
      <c r="G24" s="44" t="n">
        <v>0</v>
      </c>
      <c r="H24" s="50" t="n">
        <f aca="false">F24+G24</f>
        <v>0.5</v>
      </c>
      <c r="I24" s="2" t="n">
        <f aca="false">ROUND(H24*60,0)</f>
        <v>30</v>
      </c>
      <c r="J24" s="2" t="n">
        <f aca="false">ROUND(F24*60,0)</f>
        <v>30</v>
      </c>
      <c r="K24" s="2" t="n">
        <f aca="false">ROUND(G24*60,0)</f>
        <v>0</v>
      </c>
      <c r="L24" s="38" t="s">
        <v>109</v>
      </c>
      <c r="M24" s="51" t="n">
        <f aca="false">F24*IF(L24="CFO",Assumptions!$B$5,Assumptions!$B$4)+G24*Assumptions!$B$5</f>
        <v>47.5</v>
      </c>
      <c r="N24" s="45" t="n">
        <f aca="false">F24*INDEX(Assumptions!$B$8:$B$14,MATCH(E24,Assumptions!$A$8:$A$14,0))</f>
        <v>0.0416666666666667</v>
      </c>
      <c r="O24" s="45" t="n">
        <f aca="false">G24*INDEX(Assumptions!$B$8:$B$14,MATCH(E24,Assumptions!$A$8:$A$14,0))</f>
        <v>0</v>
      </c>
      <c r="P24" s="54" t="s">
        <v>243</v>
      </c>
      <c r="Q24" s="53" t="s">
        <v>294</v>
      </c>
      <c r="R24" s="2" t="s">
        <v>295</v>
      </c>
    </row>
    <row r="25" customFormat="false" ht="15" hidden="false" customHeight="false" outlineLevel="0" collapsed="false">
      <c r="A25" s="2" t="s">
        <v>296</v>
      </c>
      <c r="B25" s="37" t="s">
        <v>32</v>
      </c>
      <c r="C25" s="37" t="s">
        <v>248</v>
      </c>
      <c r="D25" s="37" t="s">
        <v>14</v>
      </c>
      <c r="E25" s="37" t="s">
        <v>15</v>
      </c>
      <c r="F25" s="44" t="n">
        <v>2.8333</v>
      </c>
      <c r="G25" s="44" t="n">
        <v>1.1</v>
      </c>
      <c r="H25" s="50" t="n">
        <f aca="false">F25+G25</f>
        <v>3.9333</v>
      </c>
      <c r="I25" s="2" t="n">
        <f aca="false">ROUND(H25*60,0)</f>
        <v>236</v>
      </c>
      <c r="J25" s="2" t="n">
        <f aca="false">ROUND(F25*60,0)</f>
        <v>170</v>
      </c>
      <c r="K25" s="2" t="n">
        <f aca="false">ROUND(G25*60,0)</f>
        <v>66</v>
      </c>
      <c r="L25" s="38" t="s">
        <v>109</v>
      </c>
      <c r="M25" s="51" t="n">
        <f aca="false">F25*IF(L25="CFO",Assumptions!$B$5,Assumptions!$B$4)+G25*Assumptions!$B$5</f>
        <v>544.1635</v>
      </c>
      <c r="N25" s="45" t="n">
        <f aca="false">F25*INDEX(Assumptions!$B$8:$B$14,MATCH(E25,Assumptions!$A$8:$A$14,0))</f>
        <v>2.8333</v>
      </c>
      <c r="O25" s="45" t="n">
        <f aca="false">G25*INDEX(Assumptions!$B$8:$B$14,MATCH(E25,Assumptions!$A$8:$A$14,0))</f>
        <v>1.1</v>
      </c>
      <c r="P25" s="54" t="s">
        <v>243</v>
      </c>
      <c r="Q25" s="53" t="s">
        <v>297</v>
      </c>
      <c r="R25" s="2" t="s">
        <v>295</v>
      </c>
    </row>
    <row r="26" customFormat="false" ht="15" hidden="false" customHeight="false" outlineLevel="0" collapsed="false">
      <c r="A26" s="2" t="s">
        <v>298</v>
      </c>
      <c r="B26" s="37" t="s">
        <v>33</v>
      </c>
      <c r="C26" s="37" t="s">
        <v>170</v>
      </c>
      <c r="D26" s="37" t="s">
        <v>237</v>
      </c>
      <c r="E26" s="37" t="s">
        <v>170</v>
      </c>
      <c r="F26" s="45" t="n">
        <f aca="false">IFERROR(INDEX('1099 Oct 30'!$H$5:$H$45,MATCH(B26,'1099 Oct 30'!$A$5:$A$45,0)),0)</f>
        <v>0.75</v>
      </c>
      <c r="G26" s="44" t="n">
        <v>0</v>
      </c>
      <c r="H26" s="50" t="n">
        <f aca="false">F26+G26</f>
        <v>0.75</v>
      </c>
      <c r="I26" s="2" t="n">
        <f aca="false">ROUND(H26*60,0)</f>
        <v>45</v>
      </c>
      <c r="J26" s="2" t="n">
        <f aca="false">ROUND(F26*60,0)</f>
        <v>45</v>
      </c>
      <c r="K26" s="2" t="n">
        <f aca="false">ROUND(G26*60,0)</f>
        <v>0</v>
      </c>
      <c r="L26" s="38" t="s">
        <v>109</v>
      </c>
      <c r="M26" s="51" t="n">
        <f aca="false">F26*IF(L26="CFO",Assumptions!$B$5,Assumptions!$B$4)+G26*Assumptions!$B$5</f>
        <v>71.25</v>
      </c>
      <c r="N26" s="45" t="n">
        <f aca="false">F26*INDEX(Assumptions!$B$8:$B$14,MATCH(E26,Assumptions!$A$8:$A$14,0))</f>
        <v>0.25</v>
      </c>
      <c r="O26" s="45" t="n">
        <f aca="false">G26*INDEX(Assumptions!$B$8:$B$14,MATCH(E26,Assumptions!$A$8:$A$14,0))</f>
        <v>0</v>
      </c>
      <c r="P26" s="52" t="s">
        <v>238</v>
      </c>
      <c r="Q26" s="53" t="s">
        <v>266</v>
      </c>
      <c r="R26" s="2" t="s">
        <v>240</v>
      </c>
    </row>
    <row r="27" customFormat="false" ht="15" hidden="false" customHeight="false" outlineLevel="0" collapsed="false">
      <c r="A27" s="2" t="s">
        <v>299</v>
      </c>
      <c r="B27" s="37" t="s">
        <v>33</v>
      </c>
      <c r="C27" s="37" t="s">
        <v>242</v>
      </c>
      <c r="D27" s="37" t="s">
        <v>14</v>
      </c>
      <c r="E27" s="37" t="s">
        <v>15</v>
      </c>
      <c r="F27" s="44" t="n">
        <v>6.9167</v>
      </c>
      <c r="G27" s="44" t="n">
        <v>0.8</v>
      </c>
      <c r="H27" s="50" t="n">
        <f aca="false">F27+G27</f>
        <v>7.7167</v>
      </c>
      <c r="I27" s="2" t="n">
        <f aca="false">ROUND(H27*60,0)</f>
        <v>463</v>
      </c>
      <c r="J27" s="2" t="n">
        <f aca="false">ROUND(F27*60,0)</f>
        <v>415</v>
      </c>
      <c r="K27" s="2" t="n">
        <f aca="false">ROUND(G27*60,0)</f>
        <v>48</v>
      </c>
      <c r="L27" s="38" t="s">
        <v>109</v>
      </c>
      <c r="M27" s="51" t="n">
        <f aca="false">F27*IF(L27="CFO",Assumptions!$B$5,Assumptions!$B$4)+G27*Assumptions!$B$5</f>
        <v>857.0865</v>
      </c>
      <c r="N27" s="45" t="n">
        <f aca="false">F27*INDEX(Assumptions!$B$8:$B$14,MATCH(E27,Assumptions!$A$8:$A$14,0))</f>
        <v>6.9167</v>
      </c>
      <c r="O27" s="45" t="n">
        <f aca="false">G27*INDEX(Assumptions!$B$8:$B$14,MATCH(E27,Assumptions!$A$8:$A$14,0))</f>
        <v>0.8</v>
      </c>
      <c r="P27" s="54" t="s">
        <v>243</v>
      </c>
      <c r="Q27" s="53" t="s">
        <v>300</v>
      </c>
      <c r="R27" s="2" t="s">
        <v>240</v>
      </c>
    </row>
    <row r="28" customFormat="false" ht="15" hidden="false" customHeight="false" outlineLevel="0" collapsed="false">
      <c r="A28" s="2" t="s">
        <v>301</v>
      </c>
      <c r="B28" s="37" t="s">
        <v>34</v>
      </c>
      <c r="C28" s="37" t="s">
        <v>170</v>
      </c>
      <c r="D28" s="37" t="s">
        <v>237</v>
      </c>
      <c r="E28" s="37" t="s">
        <v>170</v>
      </c>
      <c r="F28" s="45" t="n">
        <f aca="false">IFERROR(INDEX('1099 Oct 30'!$H$5:$H$45,MATCH(B28,'1099 Oct 30'!$A$5:$A$45,0)),0)</f>
        <v>0.75</v>
      </c>
      <c r="G28" s="44" t="n">
        <v>0</v>
      </c>
      <c r="H28" s="50" t="n">
        <f aca="false">F28+G28</f>
        <v>0.75</v>
      </c>
      <c r="I28" s="2" t="n">
        <f aca="false">ROUND(H28*60,0)</f>
        <v>45</v>
      </c>
      <c r="J28" s="2" t="n">
        <f aca="false">ROUND(F28*60,0)</f>
        <v>45</v>
      </c>
      <c r="K28" s="2" t="n">
        <f aca="false">ROUND(G28*60,0)</f>
        <v>0</v>
      </c>
      <c r="L28" s="38" t="s">
        <v>109</v>
      </c>
      <c r="M28" s="51" t="n">
        <f aca="false">F28*IF(L28="CFO",Assumptions!$B$5,Assumptions!$B$4)+G28*Assumptions!$B$5</f>
        <v>71.25</v>
      </c>
      <c r="N28" s="45" t="n">
        <f aca="false">F28*INDEX(Assumptions!$B$8:$B$14,MATCH(E28,Assumptions!$A$8:$A$14,0))</f>
        <v>0.25</v>
      </c>
      <c r="O28" s="45" t="n">
        <f aca="false">G28*INDEX(Assumptions!$B$8:$B$14,MATCH(E28,Assumptions!$A$8:$A$14,0))</f>
        <v>0</v>
      </c>
      <c r="P28" s="52" t="s">
        <v>238</v>
      </c>
      <c r="Q28" s="53" t="s">
        <v>266</v>
      </c>
      <c r="R28" s="2" t="s">
        <v>240</v>
      </c>
    </row>
    <row r="29" customFormat="false" ht="15" hidden="false" customHeight="false" outlineLevel="0" collapsed="false">
      <c r="A29" s="2" t="s">
        <v>302</v>
      </c>
      <c r="B29" s="37" t="s">
        <v>34</v>
      </c>
      <c r="C29" s="37" t="s">
        <v>242</v>
      </c>
      <c r="D29" s="37" t="s">
        <v>14</v>
      </c>
      <c r="E29" s="37" t="s">
        <v>15</v>
      </c>
      <c r="F29" s="44" t="n">
        <v>0.4167</v>
      </c>
      <c r="G29" s="44" t="n">
        <v>0.5</v>
      </c>
      <c r="H29" s="50" t="n">
        <f aca="false">F29+G29</f>
        <v>0.9167</v>
      </c>
      <c r="I29" s="2" t="n">
        <f aca="false">ROUND(H29*60,0)</f>
        <v>55</v>
      </c>
      <c r="J29" s="2" t="n">
        <f aca="false">ROUND(F29*60,0)</f>
        <v>25</v>
      </c>
      <c r="K29" s="2" t="n">
        <f aca="false">ROUND(G29*60,0)</f>
        <v>30</v>
      </c>
      <c r="L29" s="38" t="s">
        <v>109</v>
      </c>
      <c r="M29" s="51" t="n">
        <f aca="false">F29*IF(L29="CFO",Assumptions!$B$5,Assumptions!$B$4)+G29*Assumptions!$B$5</f>
        <v>164.5865</v>
      </c>
      <c r="N29" s="45" t="n">
        <f aca="false">F29*INDEX(Assumptions!$B$8:$B$14,MATCH(E29,Assumptions!$A$8:$A$14,0))</f>
        <v>0.4167</v>
      </c>
      <c r="O29" s="45" t="n">
        <f aca="false">G29*INDEX(Assumptions!$B$8:$B$14,MATCH(E29,Assumptions!$A$8:$A$14,0))</f>
        <v>0.5</v>
      </c>
      <c r="P29" s="54" t="s">
        <v>243</v>
      </c>
      <c r="Q29" s="53" t="s">
        <v>303</v>
      </c>
      <c r="R29" s="2" t="s">
        <v>240</v>
      </c>
    </row>
    <row r="30" customFormat="false" ht="15" hidden="false" customHeight="false" outlineLevel="0" collapsed="false">
      <c r="A30" s="2" t="s">
        <v>304</v>
      </c>
      <c r="B30" s="37" t="s">
        <v>35</v>
      </c>
      <c r="C30" s="37" t="s">
        <v>170</v>
      </c>
      <c r="D30" s="37" t="s">
        <v>237</v>
      </c>
      <c r="E30" s="37" t="s">
        <v>170</v>
      </c>
      <c r="F30" s="45" t="n">
        <f aca="false">IFERROR(INDEX('1099 Oct 30'!$H$5:$H$45,MATCH(B30,'1099 Oct 30'!$A$5:$A$45,0)),0)</f>
        <v>2</v>
      </c>
      <c r="G30" s="44" t="n">
        <v>0</v>
      </c>
      <c r="H30" s="50" t="n">
        <f aca="false">F30+G30</f>
        <v>2</v>
      </c>
      <c r="I30" s="2" t="n">
        <f aca="false">ROUND(H30*60,0)</f>
        <v>120</v>
      </c>
      <c r="J30" s="2" t="n">
        <f aca="false">ROUND(F30*60,0)</f>
        <v>120</v>
      </c>
      <c r="K30" s="2" t="n">
        <f aca="false">ROUND(G30*60,0)</f>
        <v>0</v>
      </c>
      <c r="L30" s="38" t="s">
        <v>109</v>
      </c>
      <c r="M30" s="51" t="n">
        <f aca="false">F30*IF(L30="CFO",Assumptions!$B$5,Assumptions!$B$4)+G30*Assumptions!$B$5</f>
        <v>190</v>
      </c>
      <c r="N30" s="45" t="n">
        <f aca="false">F30*INDEX(Assumptions!$B$8:$B$14,MATCH(E30,Assumptions!$A$8:$A$14,0))</f>
        <v>0.666666666666667</v>
      </c>
      <c r="O30" s="45" t="n">
        <f aca="false">G30*INDEX(Assumptions!$B$8:$B$14,MATCH(E30,Assumptions!$A$8:$A$14,0))</f>
        <v>0</v>
      </c>
      <c r="P30" s="52" t="s">
        <v>238</v>
      </c>
      <c r="Q30" s="53" t="s">
        <v>290</v>
      </c>
      <c r="R30" s="2" t="s">
        <v>305</v>
      </c>
    </row>
    <row r="31" customFormat="false" ht="15" hidden="false" customHeight="false" outlineLevel="0" collapsed="false">
      <c r="A31" s="2" t="s">
        <v>306</v>
      </c>
      <c r="B31" s="37" t="s">
        <v>35</v>
      </c>
      <c r="C31" s="37" t="s">
        <v>242</v>
      </c>
      <c r="D31" s="37" t="s">
        <v>14</v>
      </c>
      <c r="E31" s="37" t="s">
        <v>15</v>
      </c>
      <c r="F31" s="44" t="n">
        <v>2.9167</v>
      </c>
      <c r="G31" s="44" t="n">
        <v>1.25</v>
      </c>
      <c r="H31" s="50" t="n">
        <f aca="false">F31+G31</f>
        <v>4.1667</v>
      </c>
      <c r="I31" s="2" t="n">
        <f aca="false">ROUND(H31*60,0)</f>
        <v>250</v>
      </c>
      <c r="J31" s="2" t="n">
        <f aca="false">ROUND(F31*60,0)</f>
        <v>175</v>
      </c>
      <c r="K31" s="2" t="n">
        <f aca="false">ROUND(G31*60,0)</f>
        <v>75</v>
      </c>
      <c r="L31" s="38" t="s">
        <v>109</v>
      </c>
      <c r="M31" s="51" t="n">
        <f aca="false">F31*IF(L31="CFO",Assumptions!$B$5,Assumptions!$B$4)+G31*Assumptions!$B$5</f>
        <v>589.5865</v>
      </c>
      <c r="N31" s="45" t="n">
        <f aca="false">F31*INDEX(Assumptions!$B$8:$B$14,MATCH(E31,Assumptions!$A$8:$A$14,0))</f>
        <v>2.9167</v>
      </c>
      <c r="O31" s="45" t="n">
        <f aca="false">G31*INDEX(Assumptions!$B$8:$B$14,MATCH(E31,Assumptions!$A$8:$A$14,0))</f>
        <v>1.25</v>
      </c>
      <c r="P31" s="54" t="s">
        <v>243</v>
      </c>
      <c r="Q31" s="53" t="s">
        <v>307</v>
      </c>
      <c r="R31" s="2" t="s">
        <v>305</v>
      </c>
    </row>
    <row r="32" customFormat="false" ht="15" hidden="false" customHeight="false" outlineLevel="0" collapsed="false">
      <c r="A32" s="2" t="s">
        <v>308</v>
      </c>
      <c r="B32" s="37" t="s">
        <v>36</v>
      </c>
      <c r="C32" s="37" t="s">
        <v>170</v>
      </c>
      <c r="D32" s="37" t="s">
        <v>237</v>
      </c>
      <c r="E32" s="37" t="s">
        <v>170</v>
      </c>
      <c r="F32" s="45" t="n">
        <f aca="false">IFERROR(INDEX('1099 Oct 30'!$H$5:$H$45,MATCH(B32,'1099 Oct 30'!$A$5:$A$45,0)),0)</f>
        <v>2</v>
      </c>
      <c r="G32" s="44" t="n">
        <v>0</v>
      </c>
      <c r="H32" s="50" t="n">
        <f aca="false">F32+G32</f>
        <v>2</v>
      </c>
      <c r="I32" s="2" t="n">
        <f aca="false">ROUND(H32*60,0)</f>
        <v>120</v>
      </c>
      <c r="J32" s="2" t="n">
        <f aca="false">ROUND(F32*60,0)</f>
        <v>120</v>
      </c>
      <c r="K32" s="2" t="n">
        <f aca="false">ROUND(G32*60,0)</f>
        <v>0</v>
      </c>
      <c r="L32" s="38" t="s">
        <v>109</v>
      </c>
      <c r="M32" s="51" t="n">
        <f aca="false">F32*IF(L32="CFO",Assumptions!$B$5,Assumptions!$B$4)+G32*Assumptions!$B$5</f>
        <v>190</v>
      </c>
      <c r="N32" s="45" t="n">
        <f aca="false">F32*INDEX(Assumptions!$B$8:$B$14,MATCH(E32,Assumptions!$A$8:$A$14,0))</f>
        <v>0.666666666666667</v>
      </c>
      <c r="O32" s="45" t="n">
        <f aca="false">G32*INDEX(Assumptions!$B$8:$B$14,MATCH(E32,Assumptions!$A$8:$A$14,0))</f>
        <v>0</v>
      </c>
      <c r="P32" s="52" t="s">
        <v>238</v>
      </c>
      <c r="Q32" s="53" t="s">
        <v>290</v>
      </c>
      <c r="R32" s="2" t="s">
        <v>295</v>
      </c>
    </row>
    <row r="33" customFormat="false" ht="15" hidden="false" customHeight="false" outlineLevel="0" collapsed="false">
      <c r="A33" s="2" t="s">
        <v>309</v>
      </c>
      <c r="B33" s="37" t="s">
        <v>36</v>
      </c>
      <c r="C33" s="37" t="s">
        <v>242</v>
      </c>
      <c r="D33" s="37" t="s">
        <v>14</v>
      </c>
      <c r="E33" s="37" t="s">
        <v>15</v>
      </c>
      <c r="F33" s="44" t="n">
        <v>2.75</v>
      </c>
      <c r="G33" s="44" t="n">
        <v>0.5</v>
      </c>
      <c r="H33" s="50" t="n">
        <f aca="false">F33+G33</f>
        <v>3.25</v>
      </c>
      <c r="I33" s="2" t="n">
        <f aca="false">ROUND(H33*60,0)</f>
        <v>195</v>
      </c>
      <c r="J33" s="2" t="n">
        <f aca="false">ROUND(F33*60,0)</f>
        <v>165</v>
      </c>
      <c r="K33" s="2" t="n">
        <f aca="false">ROUND(G33*60,0)</f>
        <v>30</v>
      </c>
      <c r="L33" s="38" t="s">
        <v>194</v>
      </c>
      <c r="M33" s="51" t="n">
        <f aca="false">F33*IF(L33="CFO",Assumptions!$B$5,Assumptions!$B$4)+G33*Assumptions!$B$5</f>
        <v>812.5</v>
      </c>
      <c r="N33" s="45" t="n">
        <f aca="false">F33*INDEX(Assumptions!$B$8:$B$14,MATCH(E33,Assumptions!$A$8:$A$14,0))</f>
        <v>2.75</v>
      </c>
      <c r="O33" s="45" t="n">
        <f aca="false">G33*INDEX(Assumptions!$B$8:$B$14,MATCH(E33,Assumptions!$A$8:$A$14,0))</f>
        <v>0.5</v>
      </c>
      <c r="P33" s="54" t="s">
        <v>243</v>
      </c>
      <c r="Q33" s="53" t="s">
        <v>310</v>
      </c>
      <c r="R33" s="2" t="s">
        <v>295</v>
      </c>
    </row>
    <row r="34" customFormat="false" ht="15" hidden="false" customHeight="false" outlineLevel="0" collapsed="false">
      <c r="A34" s="2" t="s">
        <v>311</v>
      </c>
      <c r="B34" s="37" t="s">
        <v>37</v>
      </c>
      <c r="C34" s="37" t="s">
        <v>170</v>
      </c>
      <c r="D34" s="37" t="s">
        <v>237</v>
      </c>
      <c r="E34" s="37" t="s">
        <v>170</v>
      </c>
      <c r="F34" s="45" t="n">
        <f aca="false">IFERROR(INDEX('1099 Oct 30'!$H$5:$H$45,MATCH(B34,'1099 Oct 30'!$A$5:$A$45,0)),0)</f>
        <v>0.75</v>
      </c>
      <c r="G34" s="44" t="n">
        <v>0</v>
      </c>
      <c r="H34" s="50" t="n">
        <f aca="false">F34+G34</f>
        <v>0.75</v>
      </c>
      <c r="I34" s="2" t="n">
        <f aca="false">ROUND(H34*60,0)</f>
        <v>45</v>
      </c>
      <c r="J34" s="2" t="n">
        <f aca="false">ROUND(F34*60,0)</f>
        <v>45</v>
      </c>
      <c r="K34" s="2" t="n">
        <f aca="false">ROUND(G34*60,0)</f>
        <v>0</v>
      </c>
      <c r="L34" s="38" t="s">
        <v>109</v>
      </c>
      <c r="M34" s="51" t="n">
        <f aca="false">F34*IF(L34="CFO",Assumptions!$B$5,Assumptions!$B$4)+G34*Assumptions!$B$5</f>
        <v>71.25</v>
      </c>
      <c r="N34" s="45" t="n">
        <f aca="false">F34*INDEX(Assumptions!$B$8:$B$14,MATCH(E34,Assumptions!$A$8:$A$14,0))</f>
        <v>0.25</v>
      </c>
      <c r="O34" s="45" t="n">
        <f aca="false">G34*INDEX(Assumptions!$B$8:$B$14,MATCH(E34,Assumptions!$A$8:$A$14,0))</f>
        <v>0</v>
      </c>
      <c r="P34" s="52" t="s">
        <v>238</v>
      </c>
      <c r="Q34" s="53" t="s">
        <v>312</v>
      </c>
      <c r="R34" s="2" t="s">
        <v>313</v>
      </c>
    </row>
    <row r="35" customFormat="false" ht="15" hidden="false" customHeight="false" outlineLevel="0" collapsed="false">
      <c r="A35" s="2" t="s">
        <v>314</v>
      </c>
      <c r="B35" s="37" t="s">
        <v>37</v>
      </c>
      <c r="C35" s="37" t="s">
        <v>242</v>
      </c>
      <c r="D35" s="37" t="s">
        <v>14</v>
      </c>
      <c r="E35" s="37" t="s">
        <v>15</v>
      </c>
      <c r="F35" s="44" t="n">
        <v>7.6667</v>
      </c>
      <c r="G35" s="44" t="n">
        <v>1.2</v>
      </c>
      <c r="H35" s="50" t="n">
        <f aca="false">F35+G35</f>
        <v>8.8667</v>
      </c>
      <c r="I35" s="2" t="n">
        <f aca="false">ROUND(H35*60,0)</f>
        <v>532</v>
      </c>
      <c r="J35" s="2" t="n">
        <f aca="false">ROUND(F35*60,0)</f>
        <v>460</v>
      </c>
      <c r="K35" s="2" t="n">
        <f aca="false">ROUND(G35*60,0)</f>
        <v>72</v>
      </c>
      <c r="L35" s="38" t="s">
        <v>109</v>
      </c>
      <c r="M35" s="51" t="n">
        <f aca="false">F35*IF(L35="CFO",Assumptions!$B$5,Assumptions!$B$4)+G35*Assumptions!$B$5</f>
        <v>1028.3365</v>
      </c>
      <c r="N35" s="45" t="n">
        <f aca="false">F35*INDEX(Assumptions!$B$8:$B$14,MATCH(E35,Assumptions!$A$8:$A$14,0))</f>
        <v>7.6667</v>
      </c>
      <c r="O35" s="45" t="n">
        <f aca="false">G35*INDEX(Assumptions!$B$8:$B$14,MATCH(E35,Assumptions!$A$8:$A$14,0))</f>
        <v>1.2</v>
      </c>
      <c r="P35" s="54" t="s">
        <v>243</v>
      </c>
      <c r="Q35" s="53" t="s">
        <v>315</v>
      </c>
      <c r="R35" s="2" t="s">
        <v>313</v>
      </c>
    </row>
    <row r="36" customFormat="false" ht="15" hidden="false" customHeight="false" outlineLevel="0" collapsed="false">
      <c r="A36" s="2" t="s">
        <v>316</v>
      </c>
      <c r="B36" s="37" t="s">
        <v>38</v>
      </c>
      <c r="C36" s="37" t="s">
        <v>170</v>
      </c>
      <c r="D36" s="37" t="s">
        <v>237</v>
      </c>
      <c r="E36" s="37" t="s">
        <v>170</v>
      </c>
      <c r="F36" s="45" t="n">
        <f aca="false">IFERROR(INDEX('1099 Oct 30'!$H$5:$H$45,MATCH(B36,'1099 Oct 30'!$A$5:$A$45,0)),0)</f>
        <v>2</v>
      </c>
      <c r="G36" s="44" t="n">
        <v>0</v>
      </c>
      <c r="H36" s="50" t="n">
        <f aca="false">F36+G36</f>
        <v>2</v>
      </c>
      <c r="I36" s="2" t="n">
        <f aca="false">ROUND(H36*60,0)</f>
        <v>120</v>
      </c>
      <c r="J36" s="2" t="n">
        <f aca="false">ROUND(F36*60,0)</f>
        <v>120</v>
      </c>
      <c r="K36" s="2" t="n">
        <f aca="false">ROUND(G36*60,0)</f>
        <v>0</v>
      </c>
      <c r="L36" s="38" t="s">
        <v>109</v>
      </c>
      <c r="M36" s="51" t="n">
        <f aca="false">F36*IF(L36="CFO",Assumptions!$B$5,Assumptions!$B$4)+G36*Assumptions!$B$5</f>
        <v>190</v>
      </c>
      <c r="N36" s="45" t="n">
        <f aca="false">F36*INDEX(Assumptions!$B$8:$B$14,MATCH(E36,Assumptions!$A$8:$A$14,0))</f>
        <v>0.666666666666667</v>
      </c>
      <c r="O36" s="45" t="n">
        <f aca="false">G36*INDEX(Assumptions!$B$8:$B$14,MATCH(E36,Assumptions!$A$8:$A$14,0))</f>
        <v>0</v>
      </c>
      <c r="P36" s="52" t="s">
        <v>238</v>
      </c>
      <c r="Q36" s="53" t="s">
        <v>290</v>
      </c>
      <c r="R36" s="2" t="s">
        <v>295</v>
      </c>
    </row>
    <row r="37" customFormat="false" ht="15" hidden="false" customHeight="false" outlineLevel="0" collapsed="false">
      <c r="A37" s="2" t="s">
        <v>317</v>
      </c>
      <c r="B37" s="37" t="s">
        <v>38</v>
      </c>
      <c r="C37" s="37" t="s">
        <v>242</v>
      </c>
      <c r="D37" s="37" t="s">
        <v>14</v>
      </c>
      <c r="E37" s="37" t="s">
        <v>15</v>
      </c>
      <c r="F37" s="44" t="n">
        <v>4.4167</v>
      </c>
      <c r="G37" s="44" t="n">
        <v>0.7</v>
      </c>
      <c r="H37" s="50" t="n">
        <f aca="false">F37+G37</f>
        <v>5.1167</v>
      </c>
      <c r="I37" s="2" t="n">
        <f aca="false">ROUND(H37*60,0)</f>
        <v>307</v>
      </c>
      <c r="J37" s="2" t="n">
        <f aca="false">ROUND(F37*60,0)</f>
        <v>265</v>
      </c>
      <c r="K37" s="2" t="n">
        <f aca="false">ROUND(G37*60,0)</f>
        <v>42</v>
      </c>
      <c r="L37" s="38" t="s">
        <v>109</v>
      </c>
      <c r="M37" s="51" t="n">
        <f aca="false">F37*IF(L37="CFO",Assumptions!$B$5,Assumptions!$B$4)+G37*Assumptions!$B$5</f>
        <v>594.5865</v>
      </c>
      <c r="N37" s="45" t="n">
        <f aca="false">F37*INDEX(Assumptions!$B$8:$B$14,MATCH(E37,Assumptions!$A$8:$A$14,0))</f>
        <v>4.4167</v>
      </c>
      <c r="O37" s="45" t="n">
        <f aca="false">G37*INDEX(Assumptions!$B$8:$B$14,MATCH(E37,Assumptions!$A$8:$A$14,0))</f>
        <v>0.7</v>
      </c>
      <c r="P37" s="54" t="s">
        <v>243</v>
      </c>
      <c r="Q37" s="53" t="s">
        <v>318</v>
      </c>
      <c r="R37" s="2" t="s">
        <v>295</v>
      </c>
    </row>
    <row r="38" customFormat="false" ht="15" hidden="false" customHeight="false" outlineLevel="0" collapsed="false">
      <c r="A38" s="2" t="s">
        <v>319</v>
      </c>
      <c r="B38" s="37" t="s">
        <v>39</v>
      </c>
      <c r="C38" s="37" t="s">
        <v>170</v>
      </c>
      <c r="D38" s="37" t="s">
        <v>237</v>
      </c>
      <c r="E38" s="37" t="s">
        <v>170</v>
      </c>
      <c r="F38" s="45" t="n">
        <f aca="false">IFERROR(INDEX('1099 Oct 30'!$H$5:$H$45,MATCH(B38,'1099 Oct 30'!$A$5:$A$45,0)),0)</f>
        <v>0.375</v>
      </c>
      <c r="G38" s="44" t="n">
        <v>0</v>
      </c>
      <c r="H38" s="50" t="n">
        <f aca="false">F38+G38</f>
        <v>0.375</v>
      </c>
      <c r="I38" s="2" t="n">
        <f aca="false">ROUND(H38*60,0)</f>
        <v>23</v>
      </c>
      <c r="J38" s="2" t="n">
        <f aca="false">ROUND(F38*60,0)</f>
        <v>23</v>
      </c>
      <c r="K38" s="2" t="n">
        <f aca="false">ROUND(G38*60,0)</f>
        <v>0</v>
      </c>
      <c r="L38" s="38" t="s">
        <v>109</v>
      </c>
      <c r="M38" s="51" t="n">
        <f aca="false">F38*IF(L38="CFO",Assumptions!$B$5,Assumptions!$B$4)+G38*Assumptions!$B$5</f>
        <v>35.625</v>
      </c>
      <c r="N38" s="45" t="n">
        <f aca="false">F38*INDEX(Assumptions!$B$8:$B$14,MATCH(E38,Assumptions!$A$8:$A$14,0))</f>
        <v>0.125</v>
      </c>
      <c r="O38" s="45" t="n">
        <f aca="false">G38*INDEX(Assumptions!$B$8:$B$14,MATCH(E38,Assumptions!$A$8:$A$14,0))</f>
        <v>0</v>
      </c>
      <c r="P38" s="52" t="s">
        <v>238</v>
      </c>
      <c r="Q38" s="53" t="s">
        <v>270</v>
      </c>
      <c r="R38" s="2" t="s">
        <v>271</v>
      </c>
    </row>
    <row r="39" customFormat="false" ht="15" hidden="false" customHeight="false" outlineLevel="0" collapsed="false">
      <c r="A39" s="2" t="s">
        <v>320</v>
      </c>
      <c r="B39" s="37" t="s">
        <v>39</v>
      </c>
      <c r="C39" s="37" t="s">
        <v>242</v>
      </c>
      <c r="D39" s="37" t="s">
        <v>14</v>
      </c>
      <c r="E39" s="37" t="s">
        <v>15</v>
      </c>
      <c r="F39" s="44" t="n">
        <v>0.75</v>
      </c>
      <c r="G39" s="44" t="n">
        <v>0.5</v>
      </c>
      <c r="H39" s="50" t="n">
        <f aca="false">F39+G39</f>
        <v>1.25</v>
      </c>
      <c r="I39" s="2" t="n">
        <f aca="false">ROUND(H39*60,0)</f>
        <v>75</v>
      </c>
      <c r="J39" s="2" t="n">
        <f aca="false">ROUND(F39*60,0)</f>
        <v>45</v>
      </c>
      <c r="K39" s="2" t="n">
        <f aca="false">ROUND(G39*60,0)</f>
        <v>30</v>
      </c>
      <c r="L39" s="38" t="s">
        <v>109</v>
      </c>
      <c r="M39" s="51" t="n">
        <f aca="false">F39*IF(L39="CFO",Assumptions!$B$5,Assumptions!$B$4)+G39*Assumptions!$B$5</f>
        <v>196.25</v>
      </c>
      <c r="N39" s="45" t="n">
        <f aca="false">F39*INDEX(Assumptions!$B$8:$B$14,MATCH(E39,Assumptions!$A$8:$A$14,0))</f>
        <v>0.75</v>
      </c>
      <c r="O39" s="45" t="n">
        <f aca="false">G39*INDEX(Assumptions!$B$8:$B$14,MATCH(E39,Assumptions!$A$8:$A$14,0))</f>
        <v>0.5</v>
      </c>
      <c r="P39" s="55" t="s">
        <v>273</v>
      </c>
      <c r="Q39" s="53" t="s">
        <v>321</v>
      </c>
      <c r="R39" s="2" t="s">
        <v>271</v>
      </c>
    </row>
    <row r="40" customFormat="false" ht="15" hidden="false" customHeight="false" outlineLevel="0" collapsed="false">
      <c r="A40" s="2" t="s">
        <v>322</v>
      </c>
      <c r="B40" s="37" t="s">
        <v>40</v>
      </c>
      <c r="C40" s="37" t="s">
        <v>170</v>
      </c>
      <c r="D40" s="37" t="s">
        <v>237</v>
      </c>
      <c r="E40" s="37" t="s">
        <v>170</v>
      </c>
      <c r="F40" s="45" t="n">
        <f aca="false">IFERROR(INDEX('1099 Oct 30'!$H$5:$H$45,MATCH(B40,'1099 Oct 30'!$A$5:$A$45,0)),0)</f>
        <v>0.75</v>
      </c>
      <c r="G40" s="44" t="n">
        <v>0</v>
      </c>
      <c r="H40" s="50" t="n">
        <f aca="false">F40+G40</f>
        <v>0.75</v>
      </c>
      <c r="I40" s="2" t="n">
        <f aca="false">ROUND(H40*60,0)</f>
        <v>45</v>
      </c>
      <c r="J40" s="2" t="n">
        <f aca="false">ROUND(F40*60,0)</f>
        <v>45</v>
      </c>
      <c r="K40" s="2" t="n">
        <f aca="false">ROUND(G40*60,0)</f>
        <v>0</v>
      </c>
      <c r="L40" s="38" t="s">
        <v>109</v>
      </c>
      <c r="M40" s="51" t="n">
        <f aca="false">F40*IF(L40="CFO",Assumptions!$B$5,Assumptions!$B$4)+G40*Assumptions!$B$5</f>
        <v>71.25</v>
      </c>
      <c r="N40" s="45" t="n">
        <f aca="false">F40*INDEX(Assumptions!$B$8:$B$14,MATCH(E40,Assumptions!$A$8:$A$14,0))</f>
        <v>0.25</v>
      </c>
      <c r="O40" s="45" t="n">
        <f aca="false">G40*INDEX(Assumptions!$B$8:$B$14,MATCH(E40,Assumptions!$A$8:$A$14,0))</f>
        <v>0</v>
      </c>
      <c r="P40" s="52" t="s">
        <v>238</v>
      </c>
      <c r="Q40" s="53" t="s">
        <v>266</v>
      </c>
      <c r="R40" s="2" t="s">
        <v>323</v>
      </c>
    </row>
    <row r="41" customFormat="false" ht="15" hidden="false" customHeight="false" outlineLevel="0" collapsed="false">
      <c r="A41" s="2" t="s">
        <v>324</v>
      </c>
      <c r="B41" s="37" t="s">
        <v>40</v>
      </c>
      <c r="C41" s="37" t="s">
        <v>242</v>
      </c>
      <c r="D41" s="37" t="s">
        <v>14</v>
      </c>
      <c r="E41" s="37" t="s">
        <v>15</v>
      </c>
      <c r="F41" s="44" t="n">
        <v>5.75</v>
      </c>
      <c r="G41" s="44" t="n">
        <v>0.4833</v>
      </c>
      <c r="H41" s="50" t="n">
        <f aca="false">F41+G41</f>
        <v>6.2333</v>
      </c>
      <c r="I41" s="2" t="n">
        <f aca="false">ROUND(H41*60,0)</f>
        <v>374</v>
      </c>
      <c r="J41" s="2" t="n">
        <f aca="false">ROUND(F41*60,0)</f>
        <v>345</v>
      </c>
      <c r="K41" s="2" t="n">
        <f aca="false">ROUND(G41*60,0)</f>
        <v>29</v>
      </c>
      <c r="L41" s="38" t="s">
        <v>194</v>
      </c>
      <c r="M41" s="51" t="n">
        <f aca="false">F41*IF(L41="CFO",Assumptions!$B$5,Assumptions!$B$4)+G41*Assumptions!$B$5</f>
        <v>1558.325</v>
      </c>
      <c r="N41" s="45" t="n">
        <f aca="false">F41*INDEX(Assumptions!$B$8:$B$14,MATCH(E41,Assumptions!$A$8:$A$14,0))</f>
        <v>5.75</v>
      </c>
      <c r="O41" s="45" t="n">
        <f aca="false">G41*INDEX(Assumptions!$B$8:$B$14,MATCH(E41,Assumptions!$A$8:$A$14,0))</f>
        <v>0.4833</v>
      </c>
      <c r="P41" s="56" t="s">
        <v>325</v>
      </c>
      <c r="Q41" s="53" t="s">
        <v>326</v>
      </c>
      <c r="R41" s="2" t="s">
        <v>323</v>
      </c>
    </row>
    <row r="42" customFormat="false" ht="15" hidden="false" customHeight="false" outlineLevel="0" collapsed="false">
      <c r="A42" s="2" t="s">
        <v>327</v>
      </c>
      <c r="B42" s="37" t="s">
        <v>328</v>
      </c>
      <c r="C42" s="37" t="s">
        <v>254</v>
      </c>
      <c r="D42" s="37" t="s">
        <v>237</v>
      </c>
      <c r="E42" s="37" t="s">
        <v>170</v>
      </c>
      <c r="F42" s="50"/>
      <c r="G42" s="50"/>
      <c r="H42" s="50"/>
      <c r="I42" s="2"/>
      <c r="J42" s="2"/>
      <c r="K42" s="2"/>
      <c r="L42" s="2"/>
      <c r="M42" s="57"/>
      <c r="N42" s="50"/>
      <c r="O42" s="50"/>
      <c r="P42" s="58" t="s">
        <v>329</v>
      </c>
      <c r="Q42" s="53" t="s">
        <v>330</v>
      </c>
      <c r="R42" s="2"/>
    </row>
    <row r="43" customFormat="false" ht="15" hidden="false" customHeight="false" outlineLevel="0" collapsed="false">
      <c r="A43" s="2" t="s">
        <v>331</v>
      </c>
      <c r="B43" s="37" t="s">
        <v>41</v>
      </c>
      <c r="C43" s="37" t="s">
        <v>282</v>
      </c>
      <c r="D43" s="37" t="s">
        <v>42</v>
      </c>
      <c r="E43" s="37" t="s">
        <v>21</v>
      </c>
      <c r="F43" s="44" t="n">
        <v>3</v>
      </c>
      <c r="G43" s="44" t="n">
        <v>0</v>
      </c>
      <c r="H43" s="50" t="n">
        <f aca="false">F43+G43</f>
        <v>3</v>
      </c>
      <c r="I43" s="2" t="n">
        <f aca="false">ROUND(H43*60,0)</f>
        <v>180</v>
      </c>
      <c r="J43" s="2" t="n">
        <f aca="false">ROUND(F43*60,0)</f>
        <v>180</v>
      </c>
      <c r="K43" s="2" t="n">
        <f aca="false">ROUND(G43*60,0)</f>
        <v>0</v>
      </c>
      <c r="L43" s="38" t="s">
        <v>194</v>
      </c>
      <c r="M43" s="51" t="n">
        <f aca="false">F43*IF(L43="CFO",Assumptions!$B$5,Assumptions!$B$4)+G43*Assumptions!$B$5</f>
        <v>750</v>
      </c>
      <c r="N43" s="45" t="n">
        <f aca="false">F43*INDEX(Assumptions!$B$8:$B$14,MATCH(E43,Assumptions!$A$8:$A$14,0))</f>
        <v>0.25</v>
      </c>
      <c r="O43" s="45" t="n">
        <f aca="false">G43*INDEX(Assumptions!$B$8:$B$14,MATCH(E43,Assumptions!$A$8:$A$14,0))</f>
        <v>0</v>
      </c>
      <c r="P43" s="55" t="s">
        <v>273</v>
      </c>
      <c r="Q43" s="53" t="s">
        <v>332</v>
      </c>
      <c r="R43" s="2" t="s">
        <v>333</v>
      </c>
    </row>
    <row r="44" customFormat="false" ht="15" hidden="false" customHeight="false" outlineLevel="0" collapsed="false">
      <c r="A44" s="2" t="s">
        <v>334</v>
      </c>
      <c r="B44" s="37" t="s">
        <v>41</v>
      </c>
      <c r="C44" s="37" t="s">
        <v>242</v>
      </c>
      <c r="D44" s="37" t="s">
        <v>14</v>
      </c>
      <c r="E44" s="37" t="s">
        <v>15</v>
      </c>
      <c r="F44" s="44" t="n">
        <v>5.5</v>
      </c>
      <c r="G44" s="44" t="n">
        <v>1.75</v>
      </c>
      <c r="H44" s="50" t="n">
        <f aca="false">F44+G44</f>
        <v>7.25</v>
      </c>
      <c r="I44" s="2" t="n">
        <f aca="false">ROUND(H44*60,0)</f>
        <v>435</v>
      </c>
      <c r="J44" s="2" t="n">
        <f aca="false">ROUND(F44*60,0)</f>
        <v>330</v>
      </c>
      <c r="K44" s="2" t="n">
        <f aca="false">ROUND(G44*60,0)</f>
        <v>105</v>
      </c>
      <c r="L44" s="38" t="s">
        <v>194</v>
      </c>
      <c r="M44" s="51" t="n">
        <f aca="false">F44*IF(L44="CFO",Assumptions!$B$5,Assumptions!$B$4)+G44*Assumptions!$B$5</f>
        <v>1812.5</v>
      </c>
      <c r="N44" s="45" t="n">
        <f aca="false">F44*INDEX(Assumptions!$B$8:$B$14,MATCH(E44,Assumptions!$A$8:$A$14,0))</f>
        <v>5.5</v>
      </c>
      <c r="O44" s="45" t="n">
        <f aca="false">G44*INDEX(Assumptions!$B$8:$B$14,MATCH(E44,Assumptions!$A$8:$A$14,0))</f>
        <v>1.75</v>
      </c>
      <c r="P44" s="54" t="s">
        <v>243</v>
      </c>
      <c r="Q44" s="53" t="s">
        <v>335</v>
      </c>
      <c r="R44" s="2" t="s">
        <v>295</v>
      </c>
    </row>
    <row r="45" customFormat="false" ht="15" hidden="false" customHeight="false" outlineLevel="0" collapsed="false">
      <c r="A45" s="2" t="s">
        <v>336</v>
      </c>
      <c r="B45" s="37" t="s">
        <v>43</v>
      </c>
      <c r="C45" s="37" t="s">
        <v>170</v>
      </c>
      <c r="D45" s="37" t="s">
        <v>237</v>
      </c>
      <c r="E45" s="37" t="s">
        <v>170</v>
      </c>
      <c r="F45" s="45" t="n">
        <f aca="false">IFERROR(INDEX('1099 Oct 30'!$H$5:$H$45,MATCH(B45,'1099 Oct 30'!$A$5:$A$45,0)),0)</f>
        <v>2</v>
      </c>
      <c r="G45" s="44" t="n">
        <v>0</v>
      </c>
      <c r="H45" s="50" t="n">
        <f aca="false">F45+G45</f>
        <v>2</v>
      </c>
      <c r="I45" s="2" t="n">
        <f aca="false">ROUND(H45*60,0)</f>
        <v>120</v>
      </c>
      <c r="J45" s="2" t="n">
        <f aca="false">ROUND(F45*60,0)</f>
        <v>120</v>
      </c>
      <c r="K45" s="2" t="n">
        <f aca="false">ROUND(G45*60,0)</f>
        <v>0</v>
      </c>
      <c r="L45" s="38" t="s">
        <v>109</v>
      </c>
      <c r="M45" s="51" t="n">
        <f aca="false">F45*IF(L45="CFO",Assumptions!$B$5,Assumptions!$B$4)+G45*Assumptions!$B$5</f>
        <v>190</v>
      </c>
      <c r="N45" s="45" t="n">
        <f aca="false">F45*INDEX(Assumptions!$B$8:$B$14,MATCH(E45,Assumptions!$A$8:$A$14,0))</f>
        <v>0.666666666666667</v>
      </c>
      <c r="O45" s="45" t="n">
        <f aca="false">G45*INDEX(Assumptions!$B$8:$B$14,MATCH(E45,Assumptions!$A$8:$A$14,0))</f>
        <v>0</v>
      </c>
      <c r="P45" s="52" t="s">
        <v>238</v>
      </c>
      <c r="Q45" s="53" t="s">
        <v>337</v>
      </c>
      <c r="R45" s="2" t="s">
        <v>338</v>
      </c>
    </row>
    <row r="46" customFormat="false" ht="15" hidden="false" customHeight="false" outlineLevel="0" collapsed="false">
      <c r="A46" s="2" t="s">
        <v>339</v>
      </c>
      <c r="B46" s="37" t="s">
        <v>43</v>
      </c>
      <c r="C46" s="37" t="s">
        <v>242</v>
      </c>
      <c r="D46" s="37" t="s">
        <v>14</v>
      </c>
      <c r="E46" s="37" t="s">
        <v>15</v>
      </c>
      <c r="F46" s="44" t="n">
        <v>22.1667</v>
      </c>
      <c r="G46" s="44" t="n">
        <v>1.5</v>
      </c>
      <c r="H46" s="50" t="n">
        <f aca="false">F46+G46</f>
        <v>23.6667</v>
      </c>
      <c r="I46" s="2" t="n">
        <f aca="false">ROUND(H46*60,0)</f>
        <v>1420</v>
      </c>
      <c r="J46" s="2" t="n">
        <f aca="false">ROUND(F46*60,0)</f>
        <v>1330</v>
      </c>
      <c r="K46" s="2" t="n">
        <f aca="false">ROUND(G46*60,0)</f>
        <v>90</v>
      </c>
      <c r="L46" s="38" t="s">
        <v>109</v>
      </c>
      <c r="M46" s="51" t="n">
        <f aca="false">F46*IF(L46="CFO",Assumptions!$B$5,Assumptions!$B$4)+G46*Assumptions!$B$5</f>
        <v>2480.8365</v>
      </c>
      <c r="N46" s="45" t="n">
        <f aca="false">F46*INDEX(Assumptions!$B$8:$B$14,MATCH(E46,Assumptions!$A$8:$A$14,0))</f>
        <v>22.1667</v>
      </c>
      <c r="O46" s="45" t="n">
        <f aca="false">G46*INDEX(Assumptions!$B$8:$B$14,MATCH(E46,Assumptions!$A$8:$A$14,0))</f>
        <v>1.5</v>
      </c>
      <c r="P46" s="54" t="s">
        <v>243</v>
      </c>
      <c r="Q46" s="53" t="s">
        <v>340</v>
      </c>
      <c r="R46" s="2" t="s">
        <v>338</v>
      </c>
    </row>
    <row r="47" customFormat="false" ht="15" hidden="false" customHeight="false" outlineLevel="0" collapsed="false">
      <c r="A47" s="2" t="s">
        <v>341</v>
      </c>
      <c r="B47" s="37" t="s">
        <v>43</v>
      </c>
      <c r="C47" s="37" t="s">
        <v>248</v>
      </c>
      <c r="D47" s="37" t="s">
        <v>44</v>
      </c>
      <c r="E47" s="37" t="s">
        <v>30</v>
      </c>
      <c r="F47" s="44" t="n">
        <v>2.5833</v>
      </c>
      <c r="G47" s="44" t="n">
        <v>0</v>
      </c>
      <c r="H47" s="50" t="n">
        <f aca="false">F47+G47</f>
        <v>2.5833</v>
      </c>
      <c r="I47" s="2" t="n">
        <f aca="false">ROUND(H47*60,0)</f>
        <v>155</v>
      </c>
      <c r="J47" s="2" t="n">
        <f aca="false">ROUND(F47*60,0)</f>
        <v>155</v>
      </c>
      <c r="K47" s="2" t="n">
        <f aca="false">ROUND(G47*60,0)</f>
        <v>0</v>
      </c>
      <c r="L47" s="38" t="s">
        <v>109</v>
      </c>
      <c r="M47" s="51" t="n">
        <f aca="false">F47*IF(L47="CFO",Assumptions!$B$5,Assumptions!$B$4)+G47*Assumptions!$B$5</f>
        <v>245.4135</v>
      </c>
      <c r="N47" s="45" t="n">
        <f aca="false">F47*INDEX(Assumptions!$B$8:$B$14,MATCH(E47,Assumptions!$A$8:$A$14,0))</f>
        <v>11.1943</v>
      </c>
      <c r="O47" s="45" t="n">
        <f aca="false">G47*INDEX(Assumptions!$B$8:$B$14,MATCH(E47,Assumptions!$A$8:$A$14,0))</f>
        <v>0</v>
      </c>
      <c r="P47" s="54" t="s">
        <v>243</v>
      </c>
      <c r="Q47" s="53" t="s">
        <v>342</v>
      </c>
      <c r="R47" s="2" t="s">
        <v>338</v>
      </c>
    </row>
    <row r="48" customFormat="false" ht="15" hidden="false" customHeight="false" outlineLevel="0" collapsed="false">
      <c r="A48" s="2" t="s">
        <v>343</v>
      </c>
      <c r="B48" s="37" t="s">
        <v>45</v>
      </c>
      <c r="C48" s="37" t="s">
        <v>170</v>
      </c>
      <c r="D48" s="37" t="s">
        <v>237</v>
      </c>
      <c r="E48" s="37" t="s">
        <v>170</v>
      </c>
      <c r="F48" s="45" t="n">
        <f aca="false">IFERROR(INDEX('1099 Oct 30'!$H$5:$H$45,MATCH(B48,'1099 Oct 30'!$A$5:$A$45,0)),0)</f>
        <v>2</v>
      </c>
      <c r="G48" s="44" t="n">
        <v>0</v>
      </c>
      <c r="H48" s="50" t="n">
        <f aca="false">F48+G48</f>
        <v>2</v>
      </c>
      <c r="I48" s="2" t="n">
        <f aca="false">ROUND(H48*60,0)</f>
        <v>120</v>
      </c>
      <c r="J48" s="2" t="n">
        <f aca="false">ROUND(F48*60,0)</f>
        <v>120</v>
      </c>
      <c r="K48" s="2" t="n">
        <f aca="false">ROUND(G48*60,0)</f>
        <v>0</v>
      </c>
      <c r="L48" s="38" t="s">
        <v>109</v>
      </c>
      <c r="M48" s="51" t="n">
        <f aca="false">F48*IF(L48="CFO",Assumptions!$B$5,Assumptions!$B$4)+G48*Assumptions!$B$5</f>
        <v>190</v>
      </c>
      <c r="N48" s="45" t="n">
        <f aca="false">F48*INDEX(Assumptions!$B$8:$B$14,MATCH(E48,Assumptions!$A$8:$A$14,0))</f>
        <v>0.666666666666667</v>
      </c>
      <c r="O48" s="45" t="n">
        <f aca="false">G48*INDEX(Assumptions!$B$8:$B$14,MATCH(E48,Assumptions!$A$8:$A$14,0))</f>
        <v>0</v>
      </c>
      <c r="P48" s="52" t="s">
        <v>238</v>
      </c>
      <c r="Q48" s="53" t="s">
        <v>290</v>
      </c>
      <c r="R48" s="2" t="s">
        <v>305</v>
      </c>
    </row>
    <row r="49" customFormat="false" ht="15" hidden="false" customHeight="false" outlineLevel="0" collapsed="false">
      <c r="A49" s="2" t="s">
        <v>344</v>
      </c>
      <c r="B49" s="37" t="s">
        <v>46</v>
      </c>
      <c r="C49" s="37" t="s">
        <v>170</v>
      </c>
      <c r="D49" s="37" t="s">
        <v>237</v>
      </c>
      <c r="E49" s="37" t="s">
        <v>170</v>
      </c>
      <c r="F49" s="45" t="n">
        <f aca="false">IFERROR(INDEX('1099 Oct 30'!$H$5:$H$45,MATCH(B49,'1099 Oct 30'!$A$5:$A$45,0)),0)</f>
        <v>0.75</v>
      </c>
      <c r="G49" s="44" t="n">
        <v>0</v>
      </c>
      <c r="H49" s="50" t="n">
        <f aca="false">F49+G49</f>
        <v>0.75</v>
      </c>
      <c r="I49" s="2" t="n">
        <f aca="false">ROUND(H49*60,0)</f>
        <v>45</v>
      </c>
      <c r="J49" s="2" t="n">
        <f aca="false">ROUND(F49*60,0)</f>
        <v>45</v>
      </c>
      <c r="K49" s="2" t="n">
        <f aca="false">ROUND(G49*60,0)</f>
        <v>0</v>
      </c>
      <c r="L49" s="38" t="s">
        <v>109</v>
      </c>
      <c r="M49" s="51" t="n">
        <f aca="false">F49*IF(L49="CFO",Assumptions!$B$5,Assumptions!$B$4)+G49*Assumptions!$B$5</f>
        <v>71.25</v>
      </c>
      <c r="N49" s="45" t="n">
        <f aca="false">F49*INDEX(Assumptions!$B$8:$B$14,MATCH(E49,Assumptions!$A$8:$A$14,0))</f>
        <v>0.25</v>
      </c>
      <c r="O49" s="45" t="n">
        <f aca="false">G49*INDEX(Assumptions!$B$8:$B$14,MATCH(E49,Assumptions!$A$8:$A$14,0))</f>
        <v>0</v>
      </c>
      <c r="P49" s="52" t="s">
        <v>238</v>
      </c>
      <c r="Q49" s="53" t="s">
        <v>266</v>
      </c>
      <c r="R49" s="2" t="s">
        <v>246</v>
      </c>
    </row>
    <row r="50" customFormat="false" ht="15" hidden="false" customHeight="false" outlineLevel="0" collapsed="false">
      <c r="A50" s="2" t="s">
        <v>345</v>
      </c>
      <c r="B50" s="37" t="s">
        <v>46</v>
      </c>
      <c r="C50" s="37" t="s">
        <v>282</v>
      </c>
      <c r="D50" s="37" t="s">
        <v>28</v>
      </c>
      <c r="E50" s="37" t="s">
        <v>21</v>
      </c>
      <c r="F50" s="44" t="n">
        <v>0.3333</v>
      </c>
      <c r="G50" s="44" t="n">
        <v>0</v>
      </c>
      <c r="H50" s="50" t="n">
        <f aca="false">F50+G50</f>
        <v>0.3333</v>
      </c>
      <c r="I50" s="2" t="n">
        <f aca="false">ROUND(H50*60,0)</f>
        <v>20</v>
      </c>
      <c r="J50" s="2" t="n">
        <f aca="false">ROUND(F50*60,0)</f>
        <v>20</v>
      </c>
      <c r="K50" s="2" t="n">
        <f aca="false">ROUND(G50*60,0)</f>
        <v>0</v>
      </c>
      <c r="L50" s="38" t="s">
        <v>109</v>
      </c>
      <c r="M50" s="51" t="n">
        <f aca="false">F50*IF(L50="CFO",Assumptions!$B$5,Assumptions!$B$4)+G50*Assumptions!$B$5</f>
        <v>31.6635</v>
      </c>
      <c r="N50" s="45" t="n">
        <f aca="false">F50*INDEX(Assumptions!$B$8:$B$14,MATCH(E50,Assumptions!$A$8:$A$14,0))</f>
        <v>0.027775</v>
      </c>
      <c r="O50" s="45" t="n">
        <f aca="false">G50*INDEX(Assumptions!$B$8:$B$14,MATCH(E50,Assumptions!$A$8:$A$14,0))</f>
        <v>0</v>
      </c>
      <c r="P50" s="54" t="s">
        <v>243</v>
      </c>
      <c r="Q50" s="53" t="s">
        <v>346</v>
      </c>
      <c r="R50" s="2" t="s">
        <v>246</v>
      </c>
    </row>
    <row r="51" customFormat="false" ht="15" hidden="false" customHeight="false" outlineLevel="0" collapsed="false">
      <c r="A51" s="2" t="s">
        <v>347</v>
      </c>
      <c r="B51" s="37" t="s">
        <v>46</v>
      </c>
      <c r="C51" s="37" t="s">
        <v>254</v>
      </c>
      <c r="D51" s="37" t="s">
        <v>20</v>
      </c>
      <c r="E51" s="37" t="s">
        <v>21</v>
      </c>
      <c r="F51" s="44" t="n">
        <v>0.3333</v>
      </c>
      <c r="G51" s="44" t="n">
        <v>0</v>
      </c>
      <c r="H51" s="50" t="n">
        <f aca="false">F51+G51</f>
        <v>0.3333</v>
      </c>
      <c r="I51" s="2" t="n">
        <f aca="false">ROUND(H51*60,0)</f>
        <v>20</v>
      </c>
      <c r="J51" s="2" t="n">
        <f aca="false">ROUND(F51*60,0)</f>
        <v>20</v>
      </c>
      <c r="K51" s="2" t="n">
        <f aca="false">ROUND(G51*60,0)</f>
        <v>0</v>
      </c>
      <c r="L51" s="38" t="s">
        <v>109</v>
      </c>
      <c r="M51" s="51" t="n">
        <f aca="false">F51*IF(L51="CFO",Assumptions!$B$5,Assumptions!$B$4)+G51*Assumptions!$B$5</f>
        <v>31.6635</v>
      </c>
      <c r="N51" s="45" t="n">
        <f aca="false">F51*INDEX(Assumptions!$B$8:$B$14,MATCH(E51,Assumptions!$A$8:$A$14,0))</f>
        <v>0.027775</v>
      </c>
      <c r="O51" s="45" t="n">
        <f aca="false">G51*INDEX(Assumptions!$B$8:$B$14,MATCH(E51,Assumptions!$A$8:$A$14,0))</f>
        <v>0</v>
      </c>
      <c r="P51" s="54" t="s">
        <v>243</v>
      </c>
      <c r="Q51" s="53" t="s">
        <v>346</v>
      </c>
      <c r="R51" s="2" t="s">
        <v>246</v>
      </c>
    </row>
    <row r="52" customFormat="false" ht="15" hidden="false" customHeight="false" outlineLevel="0" collapsed="false">
      <c r="A52" s="2" t="s">
        <v>348</v>
      </c>
      <c r="B52" s="37" t="s">
        <v>46</v>
      </c>
      <c r="C52" s="37" t="s">
        <v>248</v>
      </c>
      <c r="D52" s="37" t="s">
        <v>17</v>
      </c>
      <c r="E52" s="37" t="s">
        <v>13</v>
      </c>
      <c r="F52" s="44" t="n">
        <v>18.5833</v>
      </c>
      <c r="G52" s="44" t="n">
        <v>1.5</v>
      </c>
      <c r="H52" s="50" t="n">
        <f aca="false">F52+G52</f>
        <v>20.0833</v>
      </c>
      <c r="I52" s="2" t="n">
        <f aca="false">ROUND(H52*60,0)</f>
        <v>1205</v>
      </c>
      <c r="J52" s="2" t="n">
        <f aca="false">ROUND(F52*60,0)</f>
        <v>1115</v>
      </c>
      <c r="K52" s="2" t="n">
        <f aca="false">ROUND(G52*60,0)</f>
        <v>90</v>
      </c>
      <c r="L52" s="38" t="s">
        <v>109</v>
      </c>
      <c r="M52" s="51" t="n">
        <f aca="false">F52*IF(L52="CFO",Assumptions!$B$5,Assumptions!$B$4)+G52*Assumptions!$B$5</f>
        <v>2140.4135</v>
      </c>
      <c r="N52" s="45" t="n">
        <f aca="false">F52*INDEX(Assumptions!$B$8:$B$14,MATCH(E52,Assumptions!$A$8:$A$14,0))</f>
        <v>6.19443333333333</v>
      </c>
      <c r="O52" s="45" t="n">
        <f aca="false">G52*INDEX(Assumptions!$B$8:$B$14,MATCH(E52,Assumptions!$A$8:$A$14,0))</f>
        <v>0.5</v>
      </c>
      <c r="P52" s="54" t="s">
        <v>243</v>
      </c>
      <c r="Q52" s="53" t="s">
        <v>349</v>
      </c>
      <c r="R52" s="2" t="s">
        <v>246</v>
      </c>
    </row>
    <row r="53" customFormat="false" ht="15" hidden="false" customHeight="false" outlineLevel="0" collapsed="false">
      <c r="A53" s="2" t="s">
        <v>350</v>
      </c>
      <c r="B53" s="37" t="s">
        <v>213</v>
      </c>
      <c r="C53" s="37" t="s">
        <v>170</v>
      </c>
      <c r="D53" s="37" t="s">
        <v>237</v>
      </c>
      <c r="E53" s="37" t="s">
        <v>170</v>
      </c>
      <c r="F53" s="50"/>
      <c r="G53" s="50"/>
      <c r="H53" s="50"/>
      <c r="I53" s="2"/>
      <c r="J53" s="2"/>
      <c r="K53" s="2"/>
      <c r="L53" s="2"/>
      <c r="M53" s="57"/>
      <c r="N53" s="50"/>
      <c r="O53" s="50"/>
      <c r="P53" s="58" t="s">
        <v>329</v>
      </c>
      <c r="Q53" s="53" t="s">
        <v>351</v>
      </c>
      <c r="R53" s="2"/>
    </row>
    <row r="54" customFormat="false" ht="15" hidden="false" customHeight="false" outlineLevel="0" collapsed="false">
      <c r="A54" s="2" t="s">
        <v>352</v>
      </c>
      <c r="B54" s="37" t="s">
        <v>213</v>
      </c>
      <c r="C54" s="37" t="s">
        <v>282</v>
      </c>
      <c r="D54" s="37" t="s">
        <v>28</v>
      </c>
      <c r="E54" s="37" t="s">
        <v>21</v>
      </c>
      <c r="F54" s="50"/>
      <c r="G54" s="50"/>
      <c r="H54" s="50"/>
      <c r="I54" s="2"/>
      <c r="J54" s="2"/>
      <c r="K54" s="2"/>
      <c r="L54" s="2"/>
      <c r="M54" s="57"/>
      <c r="N54" s="50"/>
      <c r="O54" s="50"/>
      <c r="P54" s="58" t="s">
        <v>329</v>
      </c>
      <c r="Q54" s="53" t="s">
        <v>351</v>
      </c>
      <c r="R54" s="2"/>
    </row>
    <row r="55" customFormat="false" ht="15" hidden="false" customHeight="false" outlineLevel="0" collapsed="false">
      <c r="A55" s="2" t="s">
        <v>353</v>
      </c>
      <c r="B55" s="37" t="s">
        <v>213</v>
      </c>
      <c r="C55" s="37" t="s">
        <v>251</v>
      </c>
      <c r="D55" s="37" t="s">
        <v>354</v>
      </c>
      <c r="E55" s="37" t="s">
        <v>15</v>
      </c>
      <c r="F55" s="50"/>
      <c r="G55" s="50"/>
      <c r="H55" s="50"/>
      <c r="I55" s="2"/>
      <c r="J55" s="2"/>
      <c r="K55" s="2"/>
      <c r="L55" s="2"/>
      <c r="M55" s="57"/>
      <c r="N55" s="50"/>
      <c r="O55" s="50"/>
      <c r="P55" s="58" t="s">
        <v>329</v>
      </c>
      <c r="Q55" s="53" t="s">
        <v>351</v>
      </c>
      <c r="R55" s="2"/>
    </row>
    <row r="56" customFormat="false" ht="15" hidden="false" customHeight="false" outlineLevel="0" collapsed="false">
      <c r="A56" s="2" t="s">
        <v>355</v>
      </c>
      <c r="B56" s="37" t="s">
        <v>213</v>
      </c>
      <c r="C56" s="37" t="s">
        <v>242</v>
      </c>
      <c r="D56" s="37" t="s">
        <v>14</v>
      </c>
      <c r="E56" s="37" t="s">
        <v>15</v>
      </c>
      <c r="F56" s="50"/>
      <c r="G56" s="50"/>
      <c r="H56" s="50"/>
      <c r="I56" s="2"/>
      <c r="J56" s="2"/>
      <c r="K56" s="2"/>
      <c r="L56" s="2"/>
      <c r="M56" s="57"/>
      <c r="N56" s="50"/>
      <c r="O56" s="50"/>
      <c r="P56" s="58" t="s">
        <v>329</v>
      </c>
      <c r="Q56" s="53" t="s">
        <v>351</v>
      </c>
      <c r="R56" s="2"/>
    </row>
    <row r="57" customFormat="false" ht="15" hidden="false" customHeight="false" outlineLevel="0" collapsed="false">
      <c r="A57" s="2" t="s">
        <v>356</v>
      </c>
      <c r="B57" s="37" t="s">
        <v>213</v>
      </c>
      <c r="C57" s="37" t="s">
        <v>251</v>
      </c>
      <c r="D57" s="37" t="s">
        <v>49</v>
      </c>
      <c r="E57" s="37" t="s">
        <v>15</v>
      </c>
      <c r="F57" s="50"/>
      <c r="G57" s="50"/>
      <c r="H57" s="50"/>
      <c r="I57" s="2"/>
      <c r="J57" s="2"/>
      <c r="K57" s="2"/>
      <c r="L57" s="2"/>
      <c r="M57" s="57"/>
      <c r="N57" s="50"/>
      <c r="O57" s="50"/>
      <c r="P57" s="58" t="s">
        <v>329</v>
      </c>
      <c r="Q57" s="53" t="s">
        <v>351</v>
      </c>
      <c r="R57" s="2"/>
    </row>
    <row r="58" customFormat="false" ht="15" hidden="false" customHeight="false" outlineLevel="0" collapsed="false">
      <c r="A58" s="2" t="s">
        <v>357</v>
      </c>
      <c r="B58" s="37" t="s">
        <v>213</v>
      </c>
      <c r="C58" s="37" t="s">
        <v>248</v>
      </c>
      <c r="D58" s="37" t="s">
        <v>358</v>
      </c>
      <c r="E58" s="37" t="s">
        <v>13</v>
      </c>
      <c r="F58" s="50"/>
      <c r="G58" s="50"/>
      <c r="H58" s="50"/>
      <c r="I58" s="2"/>
      <c r="J58" s="2"/>
      <c r="K58" s="2"/>
      <c r="L58" s="2"/>
      <c r="M58" s="57"/>
      <c r="N58" s="50"/>
      <c r="O58" s="50"/>
      <c r="P58" s="58" t="s">
        <v>329</v>
      </c>
      <c r="Q58" s="53" t="s">
        <v>351</v>
      </c>
      <c r="R58" s="2"/>
    </row>
    <row r="59" customFormat="false" ht="15" hidden="false" customHeight="false" outlineLevel="0" collapsed="false">
      <c r="A59" s="2" t="s">
        <v>359</v>
      </c>
      <c r="B59" s="37" t="s">
        <v>213</v>
      </c>
      <c r="C59" s="37" t="s">
        <v>251</v>
      </c>
      <c r="D59" s="37" t="s">
        <v>360</v>
      </c>
      <c r="E59" s="37" t="s">
        <v>13</v>
      </c>
      <c r="F59" s="50"/>
      <c r="G59" s="50"/>
      <c r="H59" s="50"/>
      <c r="I59" s="2"/>
      <c r="J59" s="2"/>
      <c r="K59" s="2"/>
      <c r="L59" s="2"/>
      <c r="M59" s="57"/>
      <c r="N59" s="50"/>
      <c r="O59" s="50"/>
      <c r="P59" s="58" t="s">
        <v>329</v>
      </c>
      <c r="Q59" s="53" t="s">
        <v>351</v>
      </c>
      <c r="R59" s="2"/>
    </row>
    <row r="60" customFormat="false" ht="15" hidden="false" customHeight="false" outlineLevel="0" collapsed="false">
      <c r="A60" s="2" t="s">
        <v>361</v>
      </c>
      <c r="B60" s="37" t="s">
        <v>213</v>
      </c>
      <c r="C60" s="37" t="s">
        <v>251</v>
      </c>
      <c r="D60" s="37" t="s">
        <v>60</v>
      </c>
      <c r="E60" s="37" t="s">
        <v>13</v>
      </c>
      <c r="F60" s="50"/>
      <c r="G60" s="50"/>
      <c r="H60" s="50"/>
      <c r="I60" s="2"/>
      <c r="J60" s="2"/>
      <c r="K60" s="2"/>
      <c r="L60" s="2"/>
      <c r="M60" s="57"/>
      <c r="N60" s="50"/>
      <c r="O60" s="50"/>
      <c r="P60" s="58" t="s">
        <v>329</v>
      </c>
      <c r="Q60" s="53" t="s">
        <v>351</v>
      </c>
      <c r="R60" s="2"/>
    </row>
    <row r="61" customFormat="false" ht="15" hidden="false" customHeight="false" outlineLevel="0" collapsed="false">
      <c r="A61" s="2" t="s">
        <v>362</v>
      </c>
      <c r="B61" s="37" t="s">
        <v>213</v>
      </c>
      <c r="C61" s="37" t="s">
        <v>248</v>
      </c>
      <c r="D61" s="37" t="s">
        <v>29</v>
      </c>
      <c r="E61" s="37" t="s">
        <v>30</v>
      </c>
      <c r="F61" s="50"/>
      <c r="G61" s="50"/>
      <c r="H61" s="50"/>
      <c r="I61" s="2"/>
      <c r="J61" s="2"/>
      <c r="K61" s="2"/>
      <c r="L61" s="2"/>
      <c r="M61" s="57"/>
      <c r="N61" s="50"/>
      <c r="O61" s="50"/>
      <c r="P61" s="58" t="s">
        <v>329</v>
      </c>
      <c r="Q61" s="53" t="s">
        <v>351</v>
      </c>
      <c r="R61" s="2"/>
    </row>
    <row r="62" customFormat="false" ht="15" hidden="false" customHeight="false" outlineLevel="0" collapsed="false">
      <c r="A62" s="2" t="s">
        <v>363</v>
      </c>
      <c r="B62" s="37" t="s">
        <v>47</v>
      </c>
      <c r="C62" s="37" t="s">
        <v>170</v>
      </c>
      <c r="D62" s="37" t="s">
        <v>237</v>
      </c>
      <c r="E62" s="37" t="s">
        <v>170</v>
      </c>
      <c r="F62" s="45" t="n">
        <f aca="false">IFERROR(INDEX('1099 Oct 30'!$H$5:$H$45,MATCH(B62,'1099 Oct 30'!$A$5:$A$45,0)),0)</f>
        <v>0.375</v>
      </c>
      <c r="G62" s="44" t="n">
        <v>0</v>
      </c>
      <c r="H62" s="50" t="n">
        <f aca="false">F62+G62</f>
        <v>0.375</v>
      </c>
      <c r="I62" s="2" t="n">
        <f aca="false">ROUND(H62*60,0)</f>
        <v>23</v>
      </c>
      <c r="J62" s="2" t="n">
        <f aca="false">ROUND(F62*60,0)</f>
        <v>23</v>
      </c>
      <c r="K62" s="2" t="n">
        <f aca="false">ROUND(G62*60,0)</f>
        <v>0</v>
      </c>
      <c r="L62" s="38" t="s">
        <v>109</v>
      </c>
      <c r="M62" s="51" t="n">
        <f aca="false">F62*IF(L62="CFO",Assumptions!$B$5,Assumptions!$B$4)+G62*Assumptions!$B$5</f>
        <v>35.625</v>
      </c>
      <c r="N62" s="45" t="n">
        <f aca="false">F62*INDEX(Assumptions!$B$8:$B$14,MATCH(E62,Assumptions!$A$8:$A$14,0))</f>
        <v>0.125</v>
      </c>
      <c r="O62" s="45" t="n">
        <f aca="false">G62*INDEX(Assumptions!$B$8:$B$14,MATCH(E62,Assumptions!$A$8:$A$14,0))</f>
        <v>0</v>
      </c>
      <c r="P62" s="52" t="s">
        <v>238</v>
      </c>
      <c r="Q62" s="53" t="s">
        <v>270</v>
      </c>
      <c r="R62" s="2" t="s">
        <v>271</v>
      </c>
    </row>
    <row r="63" customFormat="false" ht="15" hidden="false" customHeight="false" outlineLevel="0" collapsed="false">
      <c r="A63" s="2" t="s">
        <v>364</v>
      </c>
      <c r="B63" s="37" t="s">
        <v>47</v>
      </c>
      <c r="C63" s="37" t="s">
        <v>242</v>
      </c>
      <c r="D63" s="37" t="s">
        <v>14</v>
      </c>
      <c r="E63" s="37" t="s">
        <v>15</v>
      </c>
      <c r="F63" s="44" t="n">
        <v>0.5</v>
      </c>
      <c r="G63" s="44" t="n">
        <v>0.3833</v>
      </c>
      <c r="H63" s="50" t="n">
        <f aca="false">F63+G63</f>
        <v>0.8833</v>
      </c>
      <c r="I63" s="2" t="n">
        <f aca="false">ROUND(H63*60,0)</f>
        <v>53</v>
      </c>
      <c r="J63" s="2" t="n">
        <f aca="false">ROUND(F63*60,0)</f>
        <v>30</v>
      </c>
      <c r="K63" s="2" t="n">
        <f aca="false">ROUND(G63*60,0)</f>
        <v>23</v>
      </c>
      <c r="L63" s="38" t="s">
        <v>109</v>
      </c>
      <c r="M63" s="51" t="n">
        <f aca="false">F63*IF(L63="CFO",Assumptions!$B$5,Assumptions!$B$4)+G63*Assumptions!$B$5</f>
        <v>143.325</v>
      </c>
      <c r="N63" s="45" t="n">
        <f aca="false">F63*INDEX(Assumptions!$B$8:$B$14,MATCH(E63,Assumptions!$A$8:$A$14,0))</f>
        <v>0.5</v>
      </c>
      <c r="O63" s="45" t="n">
        <f aca="false">G63*INDEX(Assumptions!$B$8:$B$14,MATCH(E63,Assumptions!$A$8:$A$14,0))</f>
        <v>0.3833</v>
      </c>
      <c r="P63" s="55" t="s">
        <v>273</v>
      </c>
      <c r="Q63" s="53" t="s">
        <v>274</v>
      </c>
      <c r="R63" s="2" t="s">
        <v>271</v>
      </c>
    </row>
    <row r="64" customFormat="false" ht="15" hidden="false" customHeight="false" outlineLevel="0" collapsed="false">
      <c r="A64" s="2" t="s">
        <v>365</v>
      </c>
      <c r="B64" s="37" t="s">
        <v>48</v>
      </c>
      <c r="C64" s="37" t="s">
        <v>170</v>
      </c>
      <c r="D64" s="37" t="s">
        <v>237</v>
      </c>
      <c r="E64" s="37" t="s">
        <v>170</v>
      </c>
      <c r="F64" s="45" t="n">
        <f aca="false">IFERROR(INDEX('1099 Oct 30'!$H$5:$H$45,MATCH(B64,'1099 Oct 30'!$A$5:$A$45,0)),0)</f>
        <v>0.375</v>
      </c>
      <c r="G64" s="44" t="n">
        <v>0</v>
      </c>
      <c r="H64" s="50" t="n">
        <f aca="false">F64+G64</f>
        <v>0.375</v>
      </c>
      <c r="I64" s="2" t="n">
        <f aca="false">ROUND(H64*60,0)</f>
        <v>23</v>
      </c>
      <c r="J64" s="2" t="n">
        <f aca="false">ROUND(F64*60,0)</f>
        <v>23</v>
      </c>
      <c r="K64" s="2" t="n">
        <f aca="false">ROUND(G64*60,0)</f>
        <v>0</v>
      </c>
      <c r="L64" s="38" t="s">
        <v>109</v>
      </c>
      <c r="M64" s="51" t="n">
        <f aca="false">F64*IF(L64="CFO",Assumptions!$B$5,Assumptions!$B$4)+G64*Assumptions!$B$5</f>
        <v>35.625</v>
      </c>
      <c r="N64" s="45" t="n">
        <f aca="false">F64*INDEX(Assumptions!$B$8:$B$14,MATCH(E64,Assumptions!$A$8:$A$14,0))</f>
        <v>0.125</v>
      </c>
      <c r="O64" s="45" t="n">
        <f aca="false">G64*INDEX(Assumptions!$B$8:$B$14,MATCH(E64,Assumptions!$A$8:$A$14,0))</f>
        <v>0</v>
      </c>
      <c r="P64" s="22" t="s">
        <v>276</v>
      </c>
      <c r="Q64" s="53" t="s">
        <v>366</v>
      </c>
      <c r="R64" s="2" t="s">
        <v>305</v>
      </c>
    </row>
    <row r="65" customFormat="false" ht="15" hidden="false" customHeight="false" outlineLevel="0" collapsed="false">
      <c r="A65" s="2" t="s">
        <v>367</v>
      </c>
      <c r="B65" s="37" t="s">
        <v>48</v>
      </c>
      <c r="C65" s="37" t="s">
        <v>242</v>
      </c>
      <c r="D65" s="37" t="s">
        <v>14</v>
      </c>
      <c r="E65" s="37" t="s">
        <v>15</v>
      </c>
      <c r="F65" s="44" t="n">
        <v>1.6667</v>
      </c>
      <c r="G65" s="44" t="n">
        <v>0.3833</v>
      </c>
      <c r="H65" s="50" t="n">
        <f aca="false">F65+G65</f>
        <v>2.05</v>
      </c>
      <c r="I65" s="2" t="n">
        <f aca="false">ROUND(H65*60,0)</f>
        <v>123</v>
      </c>
      <c r="J65" s="2" t="n">
        <f aca="false">ROUND(F65*60,0)</f>
        <v>100</v>
      </c>
      <c r="K65" s="2" t="n">
        <f aca="false">ROUND(G65*60,0)</f>
        <v>23</v>
      </c>
      <c r="L65" s="38" t="s">
        <v>109</v>
      </c>
      <c r="M65" s="51" t="n">
        <f aca="false">F65*IF(L65="CFO",Assumptions!$B$5,Assumptions!$B$4)+G65*Assumptions!$B$5</f>
        <v>254.1615</v>
      </c>
      <c r="N65" s="45" t="n">
        <f aca="false">F65*INDEX(Assumptions!$B$8:$B$14,MATCH(E65,Assumptions!$A$8:$A$14,0))</f>
        <v>1.6667</v>
      </c>
      <c r="O65" s="45" t="n">
        <f aca="false">G65*INDEX(Assumptions!$B$8:$B$14,MATCH(E65,Assumptions!$A$8:$A$14,0))</f>
        <v>0.3833</v>
      </c>
      <c r="P65" s="22" t="s">
        <v>276</v>
      </c>
      <c r="Q65" s="53" t="s">
        <v>368</v>
      </c>
      <c r="R65" s="2" t="s">
        <v>305</v>
      </c>
    </row>
    <row r="66" customFormat="false" ht="15" hidden="false" customHeight="false" outlineLevel="0" collapsed="false">
      <c r="A66" s="2" t="s">
        <v>369</v>
      </c>
      <c r="B66" s="37" t="s">
        <v>48</v>
      </c>
      <c r="C66" s="37" t="s">
        <v>251</v>
      </c>
      <c r="D66" s="37" t="s">
        <v>49</v>
      </c>
      <c r="E66" s="37" t="s">
        <v>15</v>
      </c>
      <c r="F66" s="44" t="n">
        <v>0.9167</v>
      </c>
      <c r="G66" s="44" t="n">
        <v>0</v>
      </c>
      <c r="H66" s="50" t="n">
        <f aca="false">F66+G66</f>
        <v>0.9167</v>
      </c>
      <c r="I66" s="2" t="n">
        <f aca="false">ROUND(H66*60,0)</f>
        <v>55</v>
      </c>
      <c r="J66" s="2" t="n">
        <f aca="false">ROUND(F66*60,0)</f>
        <v>55</v>
      </c>
      <c r="K66" s="2" t="n">
        <f aca="false">ROUND(G66*60,0)</f>
        <v>0</v>
      </c>
      <c r="L66" s="38" t="s">
        <v>109</v>
      </c>
      <c r="M66" s="51" t="n">
        <f aca="false">F66*IF(L66="CFO",Assumptions!$B$5,Assumptions!$B$4)+G66*Assumptions!$B$5</f>
        <v>87.0865</v>
      </c>
      <c r="N66" s="45" t="n">
        <f aca="false">F66*INDEX(Assumptions!$B$8:$B$14,MATCH(E66,Assumptions!$A$8:$A$14,0))</f>
        <v>0.9167</v>
      </c>
      <c r="O66" s="45" t="n">
        <f aca="false">G66*INDEX(Assumptions!$B$8:$B$14,MATCH(E66,Assumptions!$A$8:$A$14,0))</f>
        <v>0</v>
      </c>
      <c r="P66" s="22" t="s">
        <v>276</v>
      </c>
      <c r="Q66" s="53" t="s">
        <v>370</v>
      </c>
      <c r="R66" s="2" t="s">
        <v>305</v>
      </c>
    </row>
    <row r="67" customFormat="false" ht="15" hidden="false" customHeight="false" outlineLevel="0" collapsed="false">
      <c r="A67" s="2" t="s">
        <v>371</v>
      </c>
      <c r="B67" s="37" t="s">
        <v>50</v>
      </c>
      <c r="C67" s="37" t="s">
        <v>170</v>
      </c>
      <c r="D67" s="37" t="s">
        <v>237</v>
      </c>
      <c r="E67" s="37" t="s">
        <v>170</v>
      </c>
      <c r="F67" s="45" t="n">
        <f aca="false">IFERROR(INDEX('1099 Oct 30'!$H$5:$H$45,MATCH(B67,'1099 Oct 30'!$A$5:$A$45,0)),0)</f>
        <v>2</v>
      </c>
      <c r="G67" s="44" t="n">
        <v>0</v>
      </c>
      <c r="H67" s="50" t="n">
        <f aca="false">F67+G67</f>
        <v>2</v>
      </c>
      <c r="I67" s="2" t="n">
        <f aca="false">ROUND(H67*60,0)</f>
        <v>120</v>
      </c>
      <c r="J67" s="2" t="n">
        <f aca="false">ROUND(F67*60,0)</f>
        <v>120</v>
      </c>
      <c r="K67" s="2" t="n">
        <f aca="false">ROUND(G67*60,0)</f>
        <v>0</v>
      </c>
      <c r="L67" s="38" t="s">
        <v>109</v>
      </c>
      <c r="M67" s="51" t="n">
        <f aca="false">F67*IF(L67="CFO",Assumptions!$B$5,Assumptions!$B$4)+G67*Assumptions!$B$5</f>
        <v>190</v>
      </c>
      <c r="N67" s="45" t="n">
        <f aca="false">F67*INDEX(Assumptions!$B$8:$B$14,MATCH(E67,Assumptions!$A$8:$A$14,0))</f>
        <v>0.666666666666667</v>
      </c>
      <c r="O67" s="45" t="n">
        <f aca="false">G67*INDEX(Assumptions!$B$8:$B$14,MATCH(E67,Assumptions!$A$8:$A$14,0))</f>
        <v>0</v>
      </c>
      <c r="P67" s="52" t="s">
        <v>238</v>
      </c>
      <c r="Q67" s="53" t="s">
        <v>290</v>
      </c>
      <c r="R67" s="2" t="s">
        <v>258</v>
      </c>
    </row>
    <row r="68" customFormat="false" ht="15" hidden="false" customHeight="false" outlineLevel="0" collapsed="false">
      <c r="A68" s="2" t="s">
        <v>372</v>
      </c>
      <c r="B68" s="37" t="s">
        <v>50</v>
      </c>
      <c r="C68" s="37" t="s">
        <v>242</v>
      </c>
      <c r="D68" s="37" t="s">
        <v>14</v>
      </c>
      <c r="E68" s="37" t="s">
        <v>15</v>
      </c>
      <c r="F68" s="44" t="n">
        <v>35.3333</v>
      </c>
      <c r="G68" s="44" t="n">
        <v>1.5</v>
      </c>
      <c r="H68" s="50" t="n">
        <f aca="false">F68+G68</f>
        <v>36.8333</v>
      </c>
      <c r="I68" s="2" t="n">
        <f aca="false">ROUND(H68*60,0)</f>
        <v>2210</v>
      </c>
      <c r="J68" s="2" t="n">
        <f aca="false">ROUND(F68*60,0)</f>
        <v>2120</v>
      </c>
      <c r="K68" s="2" t="n">
        <f aca="false">ROUND(G68*60,0)</f>
        <v>90</v>
      </c>
      <c r="L68" s="38" t="s">
        <v>109</v>
      </c>
      <c r="M68" s="51" t="n">
        <f aca="false">F68*IF(L68="CFO",Assumptions!$B$5,Assumptions!$B$4)+G68*Assumptions!$B$5</f>
        <v>3731.6635</v>
      </c>
      <c r="N68" s="45" t="n">
        <f aca="false">F68*INDEX(Assumptions!$B$8:$B$14,MATCH(E68,Assumptions!$A$8:$A$14,0))</f>
        <v>35.3333</v>
      </c>
      <c r="O68" s="45" t="n">
        <f aca="false">G68*INDEX(Assumptions!$B$8:$B$14,MATCH(E68,Assumptions!$A$8:$A$14,0))</f>
        <v>1.5</v>
      </c>
      <c r="P68" s="54" t="s">
        <v>243</v>
      </c>
      <c r="Q68" s="53" t="s">
        <v>373</v>
      </c>
      <c r="R68" s="2" t="s">
        <v>258</v>
      </c>
    </row>
    <row r="69" customFormat="false" ht="15" hidden="false" customHeight="false" outlineLevel="0" collapsed="false">
      <c r="A69" s="2" t="s">
        <v>374</v>
      </c>
      <c r="B69" s="37" t="s">
        <v>50</v>
      </c>
      <c r="C69" s="37" t="s">
        <v>248</v>
      </c>
      <c r="D69" s="37" t="s">
        <v>51</v>
      </c>
      <c r="E69" s="37" t="s">
        <v>30</v>
      </c>
      <c r="F69" s="44" t="n">
        <v>2.25</v>
      </c>
      <c r="G69" s="44" t="n">
        <v>0</v>
      </c>
      <c r="H69" s="50" t="n">
        <f aca="false">F69+G69</f>
        <v>2.25</v>
      </c>
      <c r="I69" s="2" t="n">
        <f aca="false">ROUND(H69*60,0)</f>
        <v>135</v>
      </c>
      <c r="J69" s="2" t="n">
        <f aca="false">ROUND(F69*60,0)</f>
        <v>135</v>
      </c>
      <c r="K69" s="2" t="n">
        <f aca="false">ROUND(G69*60,0)</f>
        <v>0</v>
      </c>
      <c r="L69" s="38" t="s">
        <v>109</v>
      </c>
      <c r="M69" s="51" t="n">
        <f aca="false">F69*IF(L69="CFO",Assumptions!$B$5,Assumptions!$B$4)+G69*Assumptions!$B$5</f>
        <v>213.75</v>
      </c>
      <c r="N69" s="45" t="n">
        <f aca="false">F69*INDEX(Assumptions!$B$8:$B$14,MATCH(E69,Assumptions!$A$8:$A$14,0))</f>
        <v>9.75</v>
      </c>
      <c r="O69" s="45" t="n">
        <f aca="false">G69*INDEX(Assumptions!$B$8:$B$14,MATCH(E69,Assumptions!$A$8:$A$14,0))</f>
        <v>0</v>
      </c>
      <c r="P69" s="54" t="s">
        <v>243</v>
      </c>
      <c r="Q69" s="53" t="s">
        <v>288</v>
      </c>
      <c r="R69" s="2" t="s">
        <v>258</v>
      </c>
    </row>
    <row r="70" customFormat="false" ht="15" hidden="false" customHeight="false" outlineLevel="0" collapsed="false">
      <c r="A70" s="2" t="s">
        <v>375</v>
      </c>
      <c r="B70" s="37" t="s">
        <v>52</v>
      </c>
      <c r="C70" s="37" t="s">
        <v>170</v>
      </c>
      <c r="D70" s="37" t="s">
        <v>237</v>
      </c>
      <c r="E70" s="37" t="s">
        <v>170</v>
      </c>
      <c r="F70" s="45" t="n">
        <f aca="false">IFERROR(INDEX('1099 Oct 30'!$H$5:$H$45,MATCH(B70,'1099 Oct 30'!$A$5:$A$45,0)),0)</f>
        <v>0.75</v>
      </c>
      <c r="G70" s="44" t="n">
        <v>0</v>
      </c>
      <c r="H70" s="50" t="n">
        <f aca="false">F70+G70</f>
        <v>0.75</v>
      </c>
      <c r="I70" s="2" t="n">
        <f aca="false">ROUND(H70*60,0)</f>
        <v>45</v>
      </c>
      <c r="J70" s="2" t="n">
        <f aca="false">ROUND(F70*60,0)</f>
        <v>45</v>
      </c>
      <c r="K70" s="2" t="n">
        <f aca="false">ROUND(G70*60,0)</f>
        <v>0</v>
      </c>
      <c r="L70" s="38" t="s">
        <v>109</v>
      </c>
      <c r="M70" s="51" t="n">
        <f aca="false">F70*IF(L70="CFO",Assumptions!$B$5,Assumptions!$B$4)+G70*Assumptions!$B$5</f>
        <v>71.25</v>
      </c>
      <c r="N70" s="45" t="n">
        <f aca="false">F70*INDEX(Assumptions!$B$8:$B$14,MATCH(E70,Assumptions!$A$8:$A$14,0))</f>
        <v>0.25</v>
      </c>
      <c r="O70" s="45" t="n">
        <f aca="false">G70*INDEX(Assumptions!$B$8:$B$14,MATCH(E70,Assumptions!$A$8:$A$14,0))</f>
        <v>0</v>
      </c>
      <c r="P70" s="52" t="s">
        <v>238</v>
      </c>
      <c r="Q70" s="53" t="s">
        <v>266</v>
      </c>
      <c r="R70" s="2" t="s">
        <v>295</v>
      </c>
    </row>
    <row r="71" customFormat="false" ht="15" hidden="false" customHeight="false" outlineLevel="0" collapsed="false">
      <c r="A71" s="2" t="s">
        <v>376</v>
      </c>
      <c r="B71" s="37" t="s">
        <v>52</v>
      </c>
      <c r="C71" s="37" t="s">
        <v>242</v>
      </c>
      <c r="D71" s="37" t="s">
        <v>14</v>
      </c>
      <c r="E71" s="37" t="s">
        <v>15</v>
      </c>
      <c r="F71" s="44" t="n">
        <v>3.25</v>
      </c>
      <c r="G71" s="44" t="n">
        <v>0.7</v>
      </c>
      <c r="H71" s="50" t="n">
        <f aca="false">F71+G71</f>
        <v>3.95</v>
      </c>
      <c r="I71" s="2" t="n">
        <f aca="false">ROUND(H71*60,0)</f>
        <v>237</v>
      </c>
      <c r="J71" s="2" t="n">
        <f aca="false">ROUND(F71*60,0)</f>
        <v>195</v>
      </c>
      <c r="K71" s="2" t="n">
        <f aca="false">ROUND(G71*60,0)</f>
        <v>42</v>
      </c>
      <c r="L71" s="38" t="s">
        <v>109</v>
      </c>
      <c r="M71" s="51" t="n">
        <f aca="false">F71*IF(L71="CFO",Assumptions!$B$5,Assumptions!$B$4)+G71*Assumptions!$B$5</f>
        <v>483.75</v>
      </c>
      <c r="N71" s="45" t="n">
        <f aca="false">F71*INDEX(Assumptions!$B$8:$B$14,MATCH(E71,Assumptions!$A$8:$A$14,0))</f>
        <v>3.25</v>
      </c>
      <c r="O71" s="45" t="n">
        <f aca="false">G71*INDEX(Assumptions!$B$8:$B$14,MATCH(E71,Assumptions!$A$8:$A$14,0))</f>
        <v>0.7</v>
      </c>
      <c r="P71" s="54" t="s">
        <v>243</v>
      </c>
      <c r="Q71" s="53" t="s">
        <v>377</v>
      </c>
      <c r="R71" s="2" t="s">
        <v>295</v>
      </c>
    </row>
    <row r="72" customFormat="false" ht="15" hidden="false" customHeight="false" outlineLevel="0" collapsed="false">
      <c r="A72" s="2" t="s">
        <v>378</v>
      </c>
      <c r="B72" s="37" t="s">
        <v>53</v>
      </c>
      <c r="C72" s="37" t="s">
        <v>170</v>
      </c>
      <c r="D72" s="37" t="s">
        <v>237</v>
      </c>
      <c r="E72" s="37" t="s">
        <v>170</v>
      </c>
      <c r="F72" s="45" t="n">
        <f aca="false">IFERROR(INDEX('1099 Oct 30'!$H$5:$H$45,MATCH(B72,'1099 Oct 30'!$A$5:$A$45,0)),0)</f>
        <v>2</v>
      </c>
      <c r="G72" s="44" t="n">
        <v>0</v>
      </c>
      <c r="H72" s="50" t="n">
        <f aca="false">F72+G72</f>
        <v>2</v>
      </c>
      <c r="I72" s="2" t="n">
        <f aca="false">ROUND(H72*60,0)</f>
        <v>120</v>
      </c>
      <c r="J72" s="2" t="n">
        <f aca="false">ROUND(F72*60,0)</f>
        <v>120</v>
      </c>
      <c r="K72" s="2" t="n">
        <f aca="false">ROUND(G72*60,0)</f>
        <v>0</v>
      </c>
      <c r="L72" s="38" t="s">
        <v>109</v>
      </c>
      <c r="M72" s="51" t="n">
        <f aca="false">F72*IF(L72="CFO",Assumptions!$B$5,Assumptions!$B$4)+G72*Assumptions!$B$5</f>
        <v>190</v>
      </c>
      <c r="N72" s="45" t="n">
        <f aca="false">F72*INDEX(Assumptions!$B$8:$B$14,MATCH(E72,Assumptions!$A$8:$A$14,0))</f>
        <v>0.666666666666667</v>
      </c>
      <c r="O72" s="45" t="n">
        <f aca="false">G72*INDEX(Assumptions!$B$8:$B$14,MATCH(E72,Assumptions!$A$8:$A$14,0))</f>
        <v>0</v>
      </c>
      <c r="P72" s="52" t="s">
        <v>238</v>
      </c>
      <c r="Q72" s="53" t="s">
        <v>290</v>
      </c>
      <c r="R72" s="2" t="s">
        <v>240</v>
      </c>
    </row>
    <row r="73" customFormat="false" ht="15" hidden="false" customHeight="false" outlineLevel="0" collapsed="false">
      <c r="A73" s="2" t="s">
        <v>379</v>
      </c>
      <c r="B73" s="37" t="s">
        <v>53</v>
      </c>
      <c r="C73" s="37" t="s">
        <v>242</v>
      </c>
      <c r="D73" s="37" t="s">
        <v>14</v>
      </c>
      <c r="E73" s="37" t="s">
        <v>15</v>
      </c>
      <c r="F73" s="44" t="n">
        <v>1.75</v>
      </c>
      <c r="G73" s="44" t="n">
        <v>0.7</v>
      </c>
      <c r="H73" s="50" t="n">
        <f aca="false">F73+G73</f>
        <v>2.45</v>
      </c>
      <c r="I73" s="2" t="n">
        <f aca="false">ROUND(H73*60,0)</f>
        <v>147</v>
      </c>
      <c r="J73" s="2" t="n">
        <f aca="false">ROUND(F73*60,0)</f>
        <v>105</v>
      </c>
      <c r="K73" s="2" t="n">
        <f aca="false">ROUND(G73*60,0)</f>
        <v>42</v>
      </c>
      <c r="L73" s="38" t="s">
        <v>109</v>
      </c>
      <c r="M73" s="51" t="n">
        <f aca="false">F73*IF(L73="CFO",Assumptions!$B$5,Assumptions!$B$4)+G73*Assumptions!$B$5</f>
        <v>341.25</v>
      </c>
      <c r="N73" s="45" t="n">
        <f aca="false">F73*INDEX(Assumptions!$B$8:$B$14,MATCH(E73,Assumptions!$A$8:$A$14,0))</f>
        <v>1.75</v>
      </c>
      <c r="O73" s="45" t="n">
        <f aca="false">G73*INDEX(Assumptions!$B$8:$B$14,MATCH(E73,Assumptions!$A$8:$A$14,0))</f>
        <v>0.7</v>
      </c>
      <c r="P73" s="54" t="s">
        <v>243</v>
      </c>
      <c r="Q73" s="53" t="s">
        <v>380</v>
      </c>
      <c r="R73" s="2" t="s">
        <v>240</v>
      </c>
    </row>
    <row r="74" customFormat="false" ht="15" hidden="false" customHeight="false" outlineLevel="0" collapsed="false">
      <c r="A74" s="2" t="s">
        <v>381</v>
      </c>
      <c r="B74" s="37" t="s">
        <v>54</v>
      </c>
      <c r="C74" s="37" t="s">
        <v>254</v>
      </c>
      <c r="D74" s="37" t="s">
        <v>237</v>
      </c>
      <c r="E74" s="37" t="s">
        <v>170</v>
      </c>
      <c r="F74" s="45" t="n">
        <f aca="false">IFERROR(INDEX('1099 Oct 30'!$H$5:$H$45,MATCH(B74,'1099 Oct 30'!$A$5:$A$45,0)),0)</f>
        <v>2</v>
      </c>
      <c r="G74" s="44" t="n">
        <v>0</v>
      </c>
      <c r="H74" s="50" t="n">
        <f aca="false">F74+G74</f>
        <v>2</v>
      </c>
      <c r="I74" s="2" t="n">
        <f aca="false">ROUND(H74*60,0)</f>
        <v>120</v>
      </c>
      <c r="J74" s="2" t="n">
        <f aca="false">ROUND(F74*60,0)</f>
        <v>120</v>
      </c>
      <c r="K74" s="2" t="n">
        <f aca="false">ROUND(G74*60,0)</f>
        <v>0</v>
      </c>
      <c r="L74" s="38" t="s">
        <v>109</v>
      </c>
      <c r="M74" s="51" t="n">
        <f aca="false">F74*IF(L74="CFO",Assumptions!$B$5,Assumptions!$B$4)+G74*Assumptions!$B$5</f>
        <v>190</v>
      </c>
      <c r="N74" s="45" t="n">
        <f aca="false">F74*INDEX(Assumptions!$B$8:$B$14,MATCH(E74,Assumptions!$A$8:$A$14,0))</f>
        <v>0.666666666666667</v>
      </c>
      <c r="O74" s="45" t="n">
        <f aca="false">G74*INDEX(Assumptions!$B$8:$B$14,MATCH(E74,Assumptions!$A$8:$A$14,0))</f>
        <v>0</v>
      </c>
      <c r="P74" s="52" t="s">
        <v>238</v>
      </c>
      <c r="Q74" s="53" t="s">
        <v>382</v>
      </c>
      <c r="R74" s="2" t="s">
        <v>295</v>
      </c>
    </row>
    <row r="75" customFormat="false" ht="15" hidden="false" customHeight="false" outlineLevel="0" collapsed="false">
      <c r="A75" s="2" t="s">
        <v>383</v>
      </c>
      <c r="B75" s="37" t="s">
        <v>54</v>
      </c>
      <c r="C75" s="37" t="s">
        <v>384</v>
      </c>
      <c r="D75" s="37" t="s">
        <v>55</v>
      </c>
      <c r="E75" s="37" t="s">
        <v>56</v>
      </c>
      <c r="F75" s="44" t="n">
        <v>0.3333</v>
      </c>
      <c r="G75" s="44" t="n">
        <v>0.1667</v>
      </c>
      <c r="H75" s="50" t="n">
        <f aca="false">F75+G75</f>
        <v>0.5</v>
      </c>
      <c r="I75" s="2" t="n">
        <f aca="false">ROUND(H75*60,0)</f>
        <v>30</v>
      </c>
      <c r="J75" s="2" t="n">
        <f aca="false">ROUND(F75*60,0)</f>
        <v>20</v>
      </c>
      <c r="K75" s="2" t="n">
        <f aca="false">ROUND(G75*60,0)</f>
        <v>10</v>
      </c>
      <c r="L75" s="38" t="s">
        <v>109</v>
      </c>
      <c r="M75" s="51" t="n">
        <f aca="false">F75*IF(L75="CFO",Assumptions!$B$5,Assumptions!$B$4)+G75*Assumptions!$B$5</f>
        <v>73.3385</v>
      </c>
      <c r="N75" s="45" t="n">
        <f aca="false">F75*INDEX(Assumptions!$B$8:$B$14,MATCH(E75,Assumptions!$A$8:$A$14,0))</f>
        <v>0.72215</v>
      </c>
      <c r="O75" s="45" t="n">
        <f aca="false">G75*INDEX(Assumptions!$B$8:$B$14,MATCH(E75,Assumptions!$A$8:$A$14,0))</f>
        <v>0.361183333333333</v>
      </c>
      <c r="P75" s="54" t="s">
        <v>243</v>
      </c>
      <c r="Q75" s="53" t="s">
        <v>385</v>
      </c>
      <c r="R75" s="2" t="s">
        <v>295</v>
      </c>
    </row>
    <row r="76" customFormat="false" ht="15" hidden="false" customHeight="false" outlineLevel="0" collapsed="false">
      <c r="A76" s="2" t="s">
        <v>386</v>
      </c>
      <c r="B76" s="37" t="s">
        <v>54</v>
      </c>
      <c r="C76" s="37" t="s">
        <v>248</v>
      </c>
      <c r="D76" s="37" t="s">
        <v>57</v>
      </c>
      <c r="E76" s="37" t="s">
        <v>56</v>
      </c>
      <c r="F76" s="44" t="n">
        <v>0.9167</v>
      </c>
      <c r="G76" s="44" t="n">
        <v>0.25</v>
      </c>
      <c r="H76" s="50" t="n">
        <f aca="false">F76+G76</f>
        <v>1.1667</v>
      </c>
      <c r="I76" s="2" t="n">
        <f aca="false">ROUND(H76*60,0)</f>
        <v>70</v>
      </c>
      <c r="J76" s="2" t="n">
        <f aca="false">ROUND(F76*60,0)</f>
        <v>55</v>
      </c>
      <c r="K76" s="2" t="n">
        <f aca="false">ROUND(G76*60,0)</f>
        <v>15</v>
      </c>
      <c r="L76" s="38" t="s">
        <v>109</v>
      </c>
      <c r="M76" s="51" t="n">
        <f aca="false">F76*IF(L76="CFO",Assumptions!$B$5,Assumptions!$B$4)+G76*Assumptions!$B$5</f>
        <v>149.5865</v>
      </c>
      <c r="N76" s="45" t="n">
        <f aca="false">F76*INDEX(Assumptions!$B$8:$B$14,MATCH(E76,Assumptions!$A$8:$A$14,0))</f>
        <v>1.98618333333333</v>
      </c>
      <c r="O76" s="45" t="n">
        <f aca="false">G76*INDEX(Assumptions!$B$8:$B$14,MATCH(E76,Assumptions!$A$8:$A$14,0))</f>
        <v>0.541666666666667</v>
      </c>
      <c r="P76" s="54" t="s">
        <v>243</v>
      </c>
      <c r="Q76" s="53" t="s">
        <v>387</v>
      </c>
      <c r="R76" s="2" t="s">
        <v>295</v>
      </c>
    </row>
    <row r="77" customFormat="false" ht="15" hidden="false" customHeight="false" outlineLevel="0" collapsed="false">
      <c r="A77" s="2" t="s">
        <v>388</v>
      </c>
      <c r="B77" s="37" t="s">
        <v>54</v>
      </c>
      <c r="C77" s="37" t="s">
        <v>242</v>
      </c>
      <c r="D77" s="37" t="s">
        <v>14</v>
      </c>
      <c r="E77" s="37" t="s">
        <v>15</v>
      </c>
      <c r="F77" s="44" t="n">
        <v>4.6667</v>
      </c>
      <c r="G77" s="44" t="n">
        <v>0.8333</v>
      </c>
      <c r="H77" s="50" t="n">
        <f aca="false">F77+G77</f>
        <v>5.5</v>
      </c>
      <c r="I77" s="2" t="n">
        <f aca="false">ROUND(H77*60,0)</f>
        <v>330</v>
      </c>
      <c r="J77" s="2" t="n">
        <f aca="false">ROUND(F77*60,0)</f>
        <v>280</v>
      </c>
      <c r="K77" s="2" t="n">
        <f aca="false">ROUND(G77*60,0)</f>
        <v>50</v>
      </c>
      <c r="L77" s="38" t="s">
        <v>109</v>
      </c>
      <c r="M77" s="51" t="n">
        <f aca="false">F77*IF(L77="CFO",Assumptions!$B$5,Assumptions!$B$4)+G77*Assumptions!$B$5</f>
        <v>651.6615</v>
      </c>
      <c r="N77" s="45" t="n">
        <f aca="false">F77*INDEX(Assumptions!$B$8:$B$14,MATCH(E77,Assumptions!$A$8:$A$14,0))</f>
        <v>4.6667</v>
      </c>
      <c r="O77" s="45" t="n">
        <f aca="false">G77*INDEX(Assumptions!$B$8:$B$14,MATCH(E77,Assumptions!$A$8:$A$14,0))</f>
        <v>0.8333</v>
      </c>
      <c r="P77" s="56" t="s">
        <v>389</v>
      </c>
      <c r="Q77" s="53" t="s">
        <v>390</v>
      </c>
      <c r="R77" s="2" t="s">
        <v>295</v>
      </c>
    </row>
    <row r="78" customFormat="false" ht="15" hidden="false" customHeight="false" outlineLevel="0" collapsed="false">
      <c r="A78" s="2" t="s">
        <v>391</v>
      </c>
      <c r="B78" s="37" t="s">
        <v>58</v>
      </c>
      <c r="C78" s="37" t="s">
        <v>170</v>
      </c>
      <c r="D78" s="37" t="s">
        <v>237</v>
      </c>
      <c r="E78" s="37" t="s">
        <v>170</v>
      </c>
      <c r="F78" s="45" t="n">
        <f aca="false">IFERROR(INDEX('1099 Oct 30'!$H$5:$H$45,MATCH(B78,'1099 Oct 30'!$A$5:$A$45,0)),0)</f>
        <v>0.75</v>
      </c>
      <c r="G78" s="44" t="n">
        <v>0</v>
      </c>
      <c r="H78" s="50" t="n">
        <f aca="false">F78+G78</f>
        <v>0.75</v>
      </c>
      <c r="I78" s="2" t="n">
        <f aca="false">ROUND(H78*60,0)</f>
        <v>45</v>
      </c>
      <c r="J78" s="2" t="n">
        <f aca="false">ROUND(F78*60,0)</f>
        <v>45</v>
      </c>
      <c r="K78" s="2" t="n">
        <f aca="false">ROUND(G78*60,0)</f>
        <v>0</v>
      </c>
      <c r="L78" s="38" t="s">
        <v>109</v>
      </c>
      <c r="M78" s="51" t="n">
        <f aca="false">F78*IF(L78="CFO",Assumptions!$B$5,Assumptions!$B$4)+G78*Assumptions!$B$5</f>
        <v>71.25</v>
      </c>
      <c r="N78" s="45" t="n">
        <f aca="false">F78*INDEX(Assumptions!$B$8:$B$14,MATCH(E78,Assumptions!$A$8:$A$14,0))</f>
        <v>0.25</v>
      </c>
      <c r="O78" s="45" t="n">
        <f aca="false">G78*INDEX(Assumptions!$B$8:$B$14,MATCH(E78,Assumptions!$A$8:$A$14,0))</f>
        <v>0</v>
      </c>
      <c r="P78" s="52" t="s">
        <v>238</v>
      </c>
      <c r="Q78" s="53" t="s">
        <v>266</v>
      </c>
      <c r="R78" s="2" t="s">
        <v>246</v>
      </c>
    </row>
    <row r="79" customFormat="false" ht="15" hidden="false" customHeight="false" outlineLevel="0" collapsed="false">
      <c r="A79" s="2" t="s">
        <v>392</v>
      </c>
      <c r="B79" s="37" t="s">
        <v>58</v>
      </c>
      <c r="C79" s="37" t="s">
        <v>393</v>
      </c>
      <c r="D79" s="37" t="s">
        <v>59</v>
      </c>
      <c r="E79" s="37" t="s">
        <v>13</v>
      </c>
      <c r="F79" s="44" t="n">
        <v>1.4167</v>
      </c>
      <c r="G79" s="44" t="n">
        <v>0.7</v>
      </c>
      <c r="H79" s="50" t="n">
        <f aca="false">F79+G79</f>
        <v>2.1167</v>
      </c>
      <c r="I79" s="2" t="n">
        <f aca="false">ROUND(H79*60,0)</f>
        <v>127</v>
      </c>
      <c r="J79" s="2" t="n">
        <f aca="false">ROUND(F79*60,0)</f>
        <v>85</v>
      </c>
      <c r="K79" s="2" t="n">
        <f aca="false">ROUND(G79*60,0)</f>
        <v>42</v>
      </c>
      <c r="L79" s="38" t="s">
        <v>109</v>
      </c>
      <c r="M79" s="51" t="n">
        <f aca="false">F79*IF(L79="CFO",Assumptions!$B$5,Assumptions!$B$4)+G79*Assumptions!$B$5</f>
        <v>309.5865</v>
      </c>
      <c r="N79" s="45" t="n">
        <f aca="false">F79*INDEX(Assumptions!$B$8:$B$14,MATCH(E79,Assumptions!$A$8:$A$14,0))</f>
        <v>0.472233333333333</v>
      </c>
      <c r="O79" s="45" t="n">
        <f aca="false">G79*INDEX(Assumptions!$B$8:$B$14,MATCH(E79,Assumptions!$A$8:$A$14,0))</f>
        <v>0.233333333333333</v>
      </c>
      <c r="P79" s="54" t="s">
        <v>243</v>
      </c>
      <c r="Q79" s="53" t="s">
        <v>394</v>
      </c>
      <c r="R79" s="2" t="s">
        <v>246</v>
      </c>
    </row>
    <row r="80" customFormat="false" ht="15" hidden="false" customHeight="false" outlineLevel="0" collapsed="false">
      <c r="A80" s="2" t="s">
        <v>395</v>
      </c>
      <c r="B80" s="37" t="s">
        <v>58</v>
      </c>
      <c r="C80" s="37" t="s">
        <v>251</v>
      </c>
      <c r="D80" s="37" t="s">
        <v>60</v>
      </c>
      <c r="E80" s="37" t="s">
        <v>13</v>
      </c>
      <c r="F80" s="44" t="n">
        <v>0.5</v>
      </c>
      <c r="G80" s="44" t="n">
        <v>0</v>
      </c>
      <c r="H80" s="50" t="n">
        <f aca="false">F80+G80</f>
        <v>0.5</v>
      </c>
      <c r="I80" s="2" t="n">
        <f aca="false">ROUND(H80*60,0)</f>
        <v>30</v>
      </c>
      <c r="J80" s="2" t="n">
        <f aca="false">ROUND(F80*60,0)</f>
        <v>30</v>
      </c>
      <c r="K80" s="2" t="n">
        <f aca="false">ROUND(G80*60,0)</f>
        <v>0</v>
      </c>
      <c r="L80" s="38" t="s">
        <v>109</v>
      </c>
      <c r="M80" s="51" t="n">
        <f aca="false">F80*IF(L80="CFO",Assumptions!$B$5,Assumptions!$B$4)+G80*Assumptions!$B$5</f>
        <v>47.5</v>
      </c>
      <c r="N80" s="45" t="n">
        <f aca="false">F80*INDEX(Assumptions!$B$8:$B$14,MATCH(E80,Assumptions!$A$8:$A$14,0))</f>
        <v>0.166666666666667</v>
      </c>
      <c r="O80" s="45" t="n">
        <f aca="false">G80*INDEX(Assumptions!$B$8:$B$14,MATCH(E80,Assumptions!$A$8:$A$14,0))</f>
        <v>0</v>
      </c>
      <c r="P80" s="52" t="s">
        <v>238</v>
      </c>
      <c r="Q80" s="53" t="s">
        <v>252</v>
      </c>
      <c r="R80" s="2" t="s">
        <v>246</v>
      </c>
    </row>
    <row r="81" customFormat="false" ht="15" hidden="false" customHeight="false" outlineLevel="0" collapsed="false">
      <c r="A81" s="2" t="s">
        <v>396</v>
      </c>
      <c r="B81" s="37" t="s">
        <v>61</v>
      </c>
      <c r="C81" s="37" t="s">
        <v>170</v>
      </c>
      <c r="D81" s="37" t="s">
        <v>237</v>
      </c>
      <c r="E81" s="37" t="s">
        <v>170</v>
      </c>
      <c r="F81" s="45" t="n">
        <f aca="false">IFERROR(INDEX('1099 Oct 30'!$H$5:$H$45,MATCH(B81,'1099 Oct 30'!$A$5:$A$45,0)),0)</f>
        <v>2</v>
      </c>
      <c r="G81" s="44" t="n">
        <v>0</v>
      </c>
      <c r="H81" s="50" t="n">
        <f aca="false">F81+G81</f>
        <v>2</v>
      </c>
      <c r="I81" s="2" t="n">
        <f aca="false">ROUND(H81*60,0)</f>
        <v>120</v>
      </c>
      <c r="J81" s="2" t="n">
        <f aca="false">ROUND(F81*60,0)</f>
        <v>120</v>
      </c>
      <c r="K81" s="2" t="n">
        <f aca="false">ROUND(G81*60,0)</f>
        <v>0</v>
      </c>
      <c r="L81" s="38" t="s">
        <v>109</v>
      </c>
      <c r="M81" s="51" t="n">
        <f aca="false">F81*IF(L81="CFO",Assumptions!$B$5,Assumptions!$B$4)+G81*Assumptions!$B$5</f>
        <v>190</v>
      </c>
      <c r="N81" s="45" t="n">
        <f aca="false">F81*INDEX(Assumptions!$B$8:$B$14,MATCH(E81,Assumptions!$A$8:$A$14,0))</f>
        <v>0.666666666666667</v>
      </c>
      <c r="O81" s="45" t="n">
        <f aca="false">G81*INDEX(Assumptions!$B$8:$B$14,MATCH(E81,Assumptions!$A$8:$A$14,0))</f>
        <v>0</v>
      </c>
      <c r="P81" s="52" t="s">
        <v>238</v>
      </c>
      <c r="Q81" s="53" t="s">
        <v>290</v>
      </c>
      <c r="R81" s="2" t="s">
        <v>305</v>
      </c>
    </row>
    <row r="82" customFormat="false" ht="15" hidden="false" customHeight="false" outlineLevel="0" collapsed="false">
      <c r="A82" s="2" t="s">
        <v>397</v>
      </c>
      <c r="B82" s="37" t="s">
        <v>61</v>
      </c>
      <c r="C82" s="37" t="s">
        <v>282</v>
      </c>
      <c r="D82" s="37" t="s">
        <v>28</v>
      </c>
      <c r="E82" s="37" t="s">
        <v>21</v>
      </c>
      <c r="F82" s="44" t="n">
        <v>0.5833</v>
      </c>
      <c r="G82" s="44" t="n">
        <v>0</v>
      </c>
      <c r="H82" s="50" t="n">
        <f aca="false">F82+G82</f>
        <v>0.5833</v>
      </c>
      <c r="I82" s="2" t="n">
        <f aca="false">ROUND(H82*60,0)</f>
        <v>35</v>
      </c>
      <c r="J82" s="2" t="n">
        <f aca="false">ROUND(F82*60,0)</f>
        <v>35</v>
      </c>
      <c r="K82" s="2" t="n">
        <f aca="false">ROUND(G82*60,0)</f>
        <v>0</v>
      </c>
      <c r="L82" s="38" t="s">
        <v>109</v>
      </c>
      <c r="M82" s="51" t="n">
        <f aca="false">F82*IF(L82="CFO",Assumptions!$B$5,Assumptions!$B$4)+G82*Assumptions!$B$5</f>
        <v>55.4135</v>
      </c>
      <c r="N82" s="45" t="n">
        <f aca="false">F82*INDEX(Assumptions!$B$8:$B$14,MATCH(E82,Assumptions!$A$8:$A$14,0))</f>
        <v>0.0486083333333333</v>
      </c>
      <c r="O82" s="45" t="n">
        <f aca="false">G82*INDEX(Assumptions!$B$8:$B$14,MATCH(E82,Assumptions!$A$8:$A$14,0))</f>
        <v>0</v>
      </c>
      <c r="P82" s="54" t="s">
        <v>243</v>
      </c>
      <c r="Q82" s="53" t="s">
        <v>398</v>
      </c>
      <c r="R82" s="2" t="s">
        <v>305</v>
      </c>
    </row>
    <row r="83" customFormat="false" ht="15" hidden="false" customHeight="false" outlineLevel="0" collapsed="false">
      <c r="A83" s="2" t="s">
        <v>399</v>
      </c>
      <c r="B83" s="37" t="s">
        <v>61</v>
      </c>
      <c r="C83" s="37" t="s">
        <v>242</v>
      </c>
      <c r="D83" s="37" t="s">
        <v>14</v>
      </c>
      <c r="E83" s="37" t="s">
        <v>15</v>
      </c>
      <c r="F83" s="44" t="n">
        <v>5.75</v>
      </c>
      <c r="G83" s="44" t="n">
        <v>0.7</v>
      </c>
      <c r="H83" s="50" t="n">
        <f aca="false">F83+G83</f>
        <v>6.45</v>
      </c>
      <c r="I83" s="2" t="n">
        <f aca="false">ROUND(H83*60,0)</f>
        <v>387</v>
      </c>
      <c r="J83" s="2" t="n">
        <f aca="false">ROUND(F83*60,0)</f>
        <v>345</v>
      </c>
      <c r="K83" s="2" t="n">
        <f aca="false">ROUND(G83*60,0)</f>
        <v>42</v>
      </c>
      <c r="L83" s="38" t="s">
        <v>109</v>
      </c>
      <c r="M83" s="51" t="n">
        <f aca="false">F83*IF(L83="CFO",Assumptions!$B$5,Assumptions!$B$4)+G83*Assumptions!$B$5</f>
        <v>721.25</v>
      </c>
      <c r="N83" s="45" t="n">
        <f aca="false">F83*INDEX(Assumptions!$B$8:$B$14,MATCH(E83,Assumptions!$A$8:$A$14,0))</f>
        <v>5.75</v>
      </c>
      <c r="O83" s="45" t="n">
        <f aca="false">G83*INDEX(Assumptions!$B$8:$B$14,MATCH(E83,Assumptions!$A$8:$A$14,0))</f>
        <v>0.7</v>
      </c>
      <c r="P83" s="54" t="s">
        <v>243</v>
      </c>
      <c r="Q83" s="53" t="s">
        <v>400</v>
      </c>
      <c r="R83" s="2" t="s">
        <v>305</v>
      </c>
    </row>
    <row r="84" customFormat="false" ht="15" hidden="false" customHeight="false" outlineLevel="0" collapsed="false">
      <c r="A84" s="2" t="s">
        <v>401</v>
      </c>
      <c r="B84" s="37" t="s">
        <v>61</v>
      </c>
      <c r="C84" s="37" t="s">
        <v>242</v>
      </c>
      <c r="D84" s="37" t="s">
        <v>62</v>
      </c>
      <c r="E84" s="37" t="s">
        <v>15</v>
      </c>
      <c r="F84" s="44" t="n">
        <v>0.5</v>
      </c>
      <c r="G84" s="44" t="n">
        <v>0</v>
      </c>
      <c r="H84" s="50" t="n">
        <f aca="false">F84+G84</f>
        <v>0.5</v>
      </c>
      <c r="I84" s="2" t="n">
        <f aca="false">ROUND(H84*60,0)</f>
        <v>30</v>
      </c>
      <c r="J84" s="2" t="n">
        <f aca="false">ROUND(F84*60,0)</f>
        <v>30</v>
      </c>
      <c r="K84" s="2" t="n">
        <f aca="false">ROUND(G84*60,0)</f>
        <v>0</v>
      </c>
      <c r="L84" s="38" t="s">
        <v>109</v>
      </c>
      <c r="M84" s="51" t="n">
        <f aca="false">F84*IF(L84="CFO",Assumptions!$B$5,Assumptions!$B$4)+G84*Assumptions!$B$5</f>
        <v>47.5</v>
      </c>
      <c r="N84" s="45" t="n">
        <f aca="false">F84*INDEX(Assumptions!$B$8:$B$14,MATCH(E84,Assumptions!$A$8:$A$14,0))</f>
        <v>0.5</v>
      </c>
      <c r="O84" s="45" t="n">
        <f aca="false">G84*INDEX(Assumptions!$B$8:$B$14,MATCH(E84,Assumptions!$A$8:$A$14,0))</f>
        <v>0</v>
      </c>
      <c r="P84" s="54" t="s">
        <v>243</v>
      </c>
      <c r="Q84" s="53" t="s">
        <v>402</v>
      </c>
      <c r="R84" s="2" t="s">
        <v>305</v>
      </c>
    </row>
    <row r="85" customFormat="false" ht="15" hidden="false" customHeight="false" outlineLevel="0" collapsed="false">
      <c r="A85" s="2" t="s">
        <v>403</v>
      </c>
      <c r="B85" s="37" t="s">
        <v>63</v>
      </c>
      <c r="C85" s="37" t="s">
        <v>282</v>
      </c>
      <c r="D85" s="37" t="s">
        <v>28</v>
      </c>
      <c r="E85" s="37" t="s">
        <v>21</v>
      </c>
      <c r="F85" s="44" t="n">
        <v>0.1667</v>
      </c>
      <c r="G85" s="44" t="n">
        <v>0</v>
      </c>
      <c r="H85" s="50" t="n">
        <f aca="false">F85+G85</f>
        <v>0.1667</v>
      </c>
      <c r="I85" s="2" t="n">
        <f aca="false">ROUND(H85*60,0)</f>
        <v>10</v>
      </c>
      <c r="J85" s="2" t="n">
        <f aca="false">ROUND(F85*60,0)</f>
        <v>10</v>
      </c>
      <c r="K85" s="2" t="n">
        <f aca="false">ROUND(G85*60,0)</f>
        <v>0</v>
      </c>
      <c r="L85" s="38" t="s">
        <v>109</v>
      </c>
      <c r="M85" s="51" t="n">
        <f aca="false">F85*IF(L85="CFO",Assumptions!$B$5,Assumptions!$B$4)+G85*Assumptions!$B$5</f>
        <v>15.8365</v>
      </c>
      <c r="N85" s="45" t="n">
        <f aca="false">F85*INDEX(Assumptions!$B$8:$B$14,MATCH(E85,Assumptions!$A$8:$A$14,0))</f>
        <v>0.0138916666666667</v>
      </c>
      <c r="O85" s="45" t="n">
        <f aca="false">G85*INDEX(Assumptions!$B$8:$B$14,MATCH(E85,Assumptions!$A$8:$A$14,0))</f>
        <v>0</v>
      </c>
      <c r="P85" s="54" t="s">
        <v>243</v>
      </c>
      <c r="Q85" s="53" t="s">
        <v>404</v>
      </c>
      <c r="R85" s="2" t="s">
        <v>246</v>
      </c>
    </row>
    <row r="86" customFormat="false" ht="15" hidden="false" customHeight="false" outlineLevel="0" collapsed="false">
      <c r="A86" s="2" t="s">
        <v>405</v>
      </c>
      <c r="B86" s="37" t="s">
        <v>63</v>
      </c>
      <c r="C86" s="37" t="s">
        <v>248</v>
      </c>
      <c r="D86" s="37" t="s">
        <v>17</v>
      </c>
      <c r="E86" s="37" t="s">
        <v>13</v>
      </c>
      <c r="F86" s="44" t="n">
        <v>1</v>
      </c>
      <c r="G86" s="44" t="n">
        <v>1</v>
      </c>
      <c r="H86" s="50" t="n">
        <f aca="false">F86+G86</f>
        <v>2</v>
      </c>
      <c r="I86" s="2" t="n">
        <f aca="false">ROUND(H86*60,0)</f>
        <v>120</v>
      </c>
      <c r="J86" s="2" t="n">
        <f aca="false">ROUND(F86*60,0)</f>
        <v>60</v>
      </c>
      <c r="K86" s="2" t="n">
        <f aca="false">ROUND(G86*60,0)</f>
        <v>60</v>
      </c>
      <c r="L86" s="38" t="s">
        <v>109</v>
      </c>
      <c r="M86" s="51" t="n">
        <f aca="false">F86*IF(L86="CFO",Assumptions!$B$5,Assumptions!$B$4)+G86*Assumptions!$B$5</f>
        <v>345</v>
      </c>
      <c r="N86" s="45" t="n">
        <f aca="false">F86*INDEX(Assumptions!$B$8:$B$14,MATCH(E86,Assumptions!$A$8:$A$14,0))</f>
        <v>0.333333333333333</v>
      </c>
      <c r="O86" s="45" t="n">
        <f aca="false">G86*INDEX(Assumptions!$B$8:$B$14,MATCH(E86,Assumptions!$A$8:$A$14,0))</f>
        <v>0.333333333333333</v>
      </c>
      <c r="P86" s="54" t="s">
        <v>243</v>
      </c>
      <c r="Q86" s="53" t="s">
        <v>406</v>
      </c>
      <c r="R86" s="2" t="s">
        <v>246</v>
      </c>
    </row>
    <row r="87" customFormat="false" ht="15" hidden="false" customHeight="false" outlineLevel="0" collapsed="false">
      <c r="A87" s="2" t="s">
        <v>407</v>
      </c>
      <c r="B87" s="37" t="s">
        <v>64</v>
      </c>
      <c r="C87" s="37" t="s">
        <v>287</v>
      </c>
      <c r="D87" s="37" t="s">
        <v>65</v>
      </c>
      <c r="E87" s="37" t="s">
        <v>66</v>
      </c>
      <c r="F87" s="44" t="n">
        <v>0.0833</v>
      </c>
      <c r="G87" s="44" t="n">
        <v>0</v>
      </c>
      <c r="H87" s="50" t="n">
        <f aca="false">F87+G87</f>
        <v>0.0833</v>
      </c>
      <c r="I87" s="2" t="n">
        <f aca="false">ROUND(H87*60,0)</f>
        <v>5</v>
      </c>
      <c r="J87" s="2" t="n">
        <f aca="false">ROUND(F87*60,0)</f>
        <v>5</v>
      </c>
      <c r="K87" s="2" t="n">
        <f aca="false">ROUND(G87*60,0)</f>
        <v>0</v>
      </c>
      <c r="L87" s="38" t="s">
        <v>109</v>
      </c>
      <c r="M87" s="51" t="n">
        <f aca="false">F87*IF(L87="CFO",Assumptions!$B$5,Assumptions!$B$4)+G87*Assumptions!$B$5</f>
        <v>7.9135</v>
      </c>
      <c r="N87" s="45" t="n">
        <f aca="false">F87*INDEX(Assumptions!$B$8:$B$14,MATCH(E87,Assumptions!$A$8:$A$14,0))</f>
        <v>2.53370833333333</v>
      </c>
      <c r="O87" s="45" t="n">
        <f aca="false">G87*INDEX(Assumptions!$B$8:$B$14,MATCH(E87,Assumptions!$A$8:$A$14,0))</f>
        <v>0</v>
      </c>
      <c r="P87" s="55" t="s">
        <v>273</v>
      </c>
      <c r="Q87" s="53" t="s">
        <v>408</v>
      </c>
      <c r="R87" s="2"/>
    </row>
    <row r="88" customFormat="false" ht="15" hidden="false" customHeight="false" outlineLevel="0" collapsed="false">
      <c r="A88" s="2" t="s">
        <v>409</v>
      </c>
      <c r="B88" s="37" t="s">
        <v>64</v>
      </c>
      <c r="C88" s="37" t="s">
        <v>287</v>
      </c>
      <c r="D88" s="37" t="s">
        <v>29</v>
      </c>
      <c r="E88" s="37" t="s">
        <v>30</v>
      </c>
      <c r="F88" s="44" t="n">
        <v>0.1667</v>
      </c>
      <c r="G88" s="44" t="n">
        <v>0</v>
      </c>
      <c r="H88" s="50" t="n">
        <f aca="false">F88+G88</f>
        <v>0.1667</v>
      </c>
      <c r="I88" s="2" t="n">
        <f aca="false">ROUND(H88*60,0)</f>
        <v>10</v>
      </c>
      <c r="J88" s="2" t="n">
        <f aca="false">ROUND(F88*60,0)</f>
        <v>10</v>
      </c>
      <c r="K88" s="2" t="n">
        <f aca="false">ROUND(G88*60,0)</f>
        <v>0</v>
      </c>
      <c r="L88" s="38" t="s">
        <v>109</v>
      </c>
      <c r="M88" s="51" t="n">
        <f aca="false">F88*IF(L88="CFO",Assumptions!$B$5,Assumptions!$B$4)+G88*Assumptions!$B$5</f>
        <v>15.8365</v>
      </c>
      <c r="N88" s="45" t="n">
        <f aca="false">F88*INDEX(Assumptions!$B$8:$B$14,MATCH(E88,Assumptions!$A$8:$A$14,0))</f>
        <v>0.722366666666667</v>
      </c>
      <c r="O88" s="45" t="n">
        <f aca="false">G88*INDEX(Assumptions!$B$8:$B$14,MATCH(E88,Assumptions!$A$8:$A$14,0))</f>
        <v>0</v>
      </c>
      <c r="P88" s="55" t="s">
        <v>273</v>
      </c>
      <c r="Q88" s="53" t="s">
        <v>410</v>
      </c>
      <c r="R88" s="2"/>
    </row>
    <row r="89" customFormat="false" ht="15" hidden="false" customHeight="false" outlineLevel="0" collapsed="false">
      <c r="A89" s="2" t="s">
        <v>411</v>
      </c>
      <c r="B89" s="37" t="s">
        <v>64</v>
      </c>
      <c r="C89" s="37" t="s">
        <v>287</v>
      </c>
      <c r="D89" s="37" t="s">
        <v>67</v>
      </c>
      <c r="E89" s="37" t="s">
        <v>30</v>
      </c>
      <c r="F89" s="44" t="n">
        <v>1.1667</v>
      </c>
      <c r="G89" s="44" t="n">
        <v>0</v>
      </c>
      <c r="H89" s="50" t="n">
        <f aca="false">F89+G89</f>
        <v>1.1667</v>
      </c>
      <c r="I89" s="2" t="n">
        <f aca="false">ROUND(H89*60,0)</f>
        <v>70</v>
      </c>
      <c r="J89" s="2" t="n">
        <f aca="false">ROUND(F89*60,0)</f>
        <v>70</v>
      </c>
      <c r="K89" s="2" t="n">
        <f aca="false">ROUND(G89*60,0)</f>
        <v>0</v>
      </c>
      <c r="L89" s="38" t="s">
        <v>109</v>
      </c>
      <c r="M89" s="51" t="n">
        <f aca="false">F89*IF(L89="CFO",Assumptions!$B$5,Assumptions!$B$4)+G89*Assumptions!$B$5</f>
        <v>110.8365</v>
      </c>
      <c r="N89" s="45" t="n">
        <f aca="false">F89*INDEX(Assumptions!$B$8:$B$14,MATCH(E89,Assumptions!$A$8:$A$14,0))</f>
        <v>5.0557</v>
      </c>
      <c r="O89" s="45" t="n">
        <f aca="false">G89*INDEX(Assumptions!$B$8:$B$14,MATCH(E89,Assumptions!$A$8:$A$14,0))</f>
        <v>0</v>
      </c>
      <c r="P89" s="55" t="s">
        <v>273</v>
      </c>
      <c r="Q89" s="53" t="s">
        <v>412</v>
      </c>
      <c r="R89" s="2"/>
    </row>
    <row r="90" customFormat="false" ht="15" hidden="false" customHeight="false" outlineLevel="0" collapsed="false">
      <c r="A90" s="2" t="s">
        <v>413</v>
      </c>
      <c r="B90" s="37" t="s">
        <v>68</v>
      </c>
      <c r="C90" s="37" t="s">
        <v>170</v>
      </c>
      <c r="D90" s="37" t="s">
        <v>237</v>
      </c>
      <c r="E90" s="37" t="s">
        <v>170</v>
      </c>
      <c r="F90" s="45" t="n">
        <f aca="false">IFERROR(INDEX('1099 Oct 30'!$H$5:$H$45,MATCH(B90,'1099 Oct 30'!$A$5:$A$45,0)),0)</f>
        <v>2</v>
      </c>
      <c r="G90" s="44" t="n">
        <v>0</v>
      </c>
      <c r="H90" s="50" t="n">
        <f aca="false">F90+G90</f>
        <v>2</v>
      </c>
      <c r="I90" s="2" t="n">
        <f aca="false">ROUND(H90*60,0)</f>
        <v>120</v>
      </c>
      <c r="J90" s="2" t="n">
        <f aca="false">ROUND(F90*60,0)</f>
        <v>120</v>
      </c>
      <c r="K90" s="2" t="n">
        <f aca="false">ROUND(G90*60,0)</f>
        <v>0</v>
      </c>
      <c r="L90" s="38" t="s">
        <v>109</v>
      </c>
      <c r="M90" s="51" t="n">
        <f aca="false">F90*IF(L90="CFO",Assumptions!$B$5,Assumptions!$B$4)+G90*Assumptions!$B$5</f>
        <v>190</v>
      </c>
      <c r="N90" s="45" t="n">
        <f aca="false">F90*INDEX(Assumptions!$B$8:$B$14,MATCH(E90,Assumptions!$A$8:$A$14,0))</f>
        <v>0.666666666666667</v>
      </c>
      <c r="O90" s="45" t="n">
        <f aca="false">G90*INDEX(Assumptions!$B$8:$B$14,MATCH(E90,Assumptions!$A$8:$A$14,0))</f>
        <v>0</v>
      </c>
      <c r="P90" s="52" t="s">
        <v>238</v>
      </c>
      <c r="Q90" s="53" t="s">
        <v>290</v>
      </c>
      <c r="R90" s="2" t="s">
        <v>240</v>
      </c>
    </row>
    <row r="91" customFormat="false" ht="15" hidden="false" customHeight="false" outlineLevel="0" collapsed="false">
      <c r="A91" s="2" t="s">
        <v>414</v>
      </c>
      <c r="B91" s="37" t="s">
        <v>68</v>
      </c>
      <c r="C91" s="37" t="s">
        <v>242</v>
      </c>
      <c r="D91" s="37" t="s">
        <v>14</v>
      </c>
      <c r="E91" s="37" t="s">
        <v>15</v>
      </c>
      <c r="F91" s="44" t="n">
        <v>1.8333</v>
      </c>
      <c r="G91" s="44" t="n">
        <v>1</v>
      </c>
      <c r="H91" s="50" t="n">
        <f aca="false">F91+G91</f>
        <v>2.8333</v>
      </c>
      <c r="I91" s="2" t="n">
        <f aca="false">ROUND(H91*60,0)</f>
        <v>170</v>
      </c>
      <c r="J91" s="2" t="n">
        <f aca="false">ROUND(F91*60,0)</f>
        <v>110</v>
      </c>
      <c r="K91" s="2" t="n">
        <f aca="false">ROUND(G91*60,0)</f>
        <v>60</v>
      </c>
      <c r="L91" s="38" t="s">
        <v>109</v>
      </c>
      <c r="M91" s="51" t="n">
        <f aca="false">F91*IF(L91="CFO",Assumptions!$B$5,Assumptions!$B$4)+G91*Assumptions!$B$5</f>
        <v>424.1635</v>
      </c>
      <c r="N91" s="45" t="n">
        <f aca="false">F91*INDEX(Assumptions!$B$8:$B$14,MATCH(E91,Assumptions!$A$8:$A$14,0))</f>
        <v>1.8333</v>
      </c>
      <c r="O91" s="45" t="n">
        <f aca="false">G91*INDEX(Assumptions!$B$8:$B$14,MATCH(E91,Assumptions!$A$8:$A$14,0))</f>
        <v>1</v>
      </c>
      <c r="P91" s="54" t="s">
        <v>243</v>
      </c>
      <c r="Q91" s="53" t="s">
        <v>415</v>
      </c>
      <c r="R91" s="2" t="s">
        <v>240</v>
      </c>
    </row>
    <row r="92" customFormat="false" ht="15" hidden="false" customHeight="false" outlineLevel="0" collapsed="false">
      <c r="A92" s="2" t="s">
        <v>416</v>
      </c>
      <c r="B92" s="37" t="s">
        <v>69</v>
      </c>
      <c r="C92" s="37" t="s">
        <v>170</v>
      </c>
      <c r="D92" s="37" t="s">
        <v>237</v>
      </c>
      <c r="E92" s="37" t="s">
        <v>170</v>
      </c>
      <c r="F92" s="45" t="n">
        <f aca="false">IFERROR(INDEX('1099 Oct 30'!$H$5:$H$45,MATCH(B92,'1099 Oct 30'!$A$5:$A$45,0)),0)</f>
        <v>0.375</v>
      </c>
      <c r="G92" s="44" t="n">
        <v>0</v>
      </c>
      <c r="H92" s="50" t="n">
        <f aca="false">F92+G92</f>
        <v>0.375</v>
      </c>
      <c r="I92" s="2" t="n">
        <f aca="false">ROUND(H92*60,0)</f>
        <v>23</v>
      </c>
      <c r="J92" s="2" t="n">
        <f aca="false">ROUND(F92*60,0)</f>
        <v>23</v>
      </c>
      <c r="K92" s="2" t="n">
        <f aca="false">ROUND(G92*60,0)</f>
        <v>0</v>
      </c>
      <c r="L92" s="38" t="s">
        <v>109</v>
      </c>
      <c r="M92" s="51" t="n">
        <f aca="false">F92*IF(L92="CFO",Assumptions!$B$5,Assumptions!$B$4)+G92*Assumptions!$B$5</f>
        <v>35.625</v>
      </c>
      <c r="N92" s="45" t="n">
        <f aca="false">F92*INDEX(Assumptions!$B$8:$B$14,MATCH(E92,Assumptions!$A$8:$A$14,0))</f>
        <v>0.125</v>
      </c>
      <c r="O92" s="45" t="n">
        <f aca="false">G92*INDEX(Assumptions!$B$8:$B$14,MATCH(E92,Assumptions!$A$8:$A$14,0))</f>
        <v>0</v>
      </c>
      <c r="P92" s="52" t="s">
        <v>238</v>
      </c>
      <c r="Q92" s="53" t="s">
        <v>417</v>
      </c>
      <c r="R92" s="2" t="s">
        <v>271</v>
      </c>
    </row>
    <row r="93" customFormat="false" ht="15" hidden="false" customHeight="false" outlineLevel="0" collapsed="false">
      <c r="A93" s="2" t="s">
        <v>418</v>
      </c>
      <c r="B93" s="37" t="s">
        <v>69</v>
      </c>
      <c r="C93" s="37" t="s">
        <v>254</v>
      </c>
      <c r="D93" s="37" t="s">
        <v>20</v>
      </c>
      <c r="E93" s="37" t="s">
        <v>21</v>
      </c>
      <c r="F93" s="44" t="n">
        <v>0.3333</v>
      </c>
      <c r="G93" s="44" t="n">
        <v>0</v>
      </c>
      <c r="H93" s="50" t="n">
        <f aca="false">F93+G93</f>
        <v>0.3333</v>
      </c>
      <c r="I93" s="2" t="n">
        <f aca="false">ROUND(H93*60,0)</f>
        <v>20</v>
      </c>
      <c r="J93" s="2" t="n">
        <f aca="false">ROUND(F93*60,0)</f>
        <v>20</v>
      </c>
      <c r="K93" s="2" t="n">
        <f aca="false">ROUND(G93*60,0)</f>
        <v>0</v>
      </c>
      <c r="L93" s="38" t="s">
        <v>109</v>
      </c>
      <c r="M93" s="51" t="n">
        <f aca="false">F93*IF(L93="CFO",Assumptions!$B$5,Assumptions!$B$4)+G93*Assumptions!$B$5</f>
        <v>31.6635</v>
      </c>
      <c r="N93" s="45" t="n">
        <f aca="false">F93*INDEX(Assumptions!$B$8:$B$14,MATCH(E93,Assumptions!$A$8:$A$14,0))</f>
        <v>0.027775</v>
      </c>
      <c r="O93" s="45" t="n">
        <f aca="false">G93*INDEX(Assumptions!$B$8:$B$14,MATCH(E93,Assumptions!$A$8:$A$14,0))</f>
        <v>0</v>
      </c>
      <c r="P93" s="54" t="s">
        <v>243</v>
      </c>
      <c r="Q93" s="53" t="s">
        <v>419</v>
      </c>
      <c r="R93" s="2" t="s">
        <v>271</v>
      </c>
    </row>
    <row r="94" customFormat="false" ht="15" hidden="false" customHeight="false" outlineLevel="0" collapsed="false">
      <c r="A94" s="2" t="s">
        <v>420</v>
      </c>
      <c r="B94" s="37" t="s">
        <v>69</v>
      </c>
      <c r="C94" s="37" t="s">
        <v>242</v>
      </c>
      <c r="D94" s="37" t="s">
        <v>14</v>
      </c>
      <c r="E94" s="37" t="s">
        <v>15</v>
      </c>
      <c r="F94" s="44" t="n">
        <v>1</v>
      </c>
      <c r="G94" s="44" t="n">
        <v>0.5</v>
      </c>
      <c r="H94" s="50" t="n">
        <f aca="false">F94+G94</f>
        <v>1.5</v>
      </c>
      <c r="I94" s="2" t="n">
        <f aca="false">ROUND(H94*60,0)</f>
        <v>90</v>
      </c>
      <c r="J94" s="2" t="n">
        <f aca="false">ROUND(F94*60,0)</f>
        <v>60</v>
      </c>
      <c r="K94" s="2" t="n">
        <f aca="false">ROUND(G94*60,0)</f>
        <v>30</v>
      </c>
      <c r="L94" s="38" t="s">
        <v>109</v>
      </c>
      <c r="M94" s="51" t="n">
        <f aca="false">F94*IF(L94="CFO",Assumptions!$B$5,Assumptions!$B$4)+G94*Assumptions!$B$5</f>
        <v>220</v>
      </c>
      <c r="N94" s="45" t="n">
        <f aca="false">F94*INDEX(Assumptions!$B$8:$B$14,MATCH(E94,Assumptions!$A$8:$A$14,0))</f>
        <v>1</v>
      </c>
      <c r="O94" s="45" t="n">
        <f aca="false">G94*INDEX(Assumptions!$B$8:$B$14,MATCH(E94,Assumptions!$A$8:$A$14,0))</f>
        <v>0.5</v>
      </c>
      <c r="P94" s="52" t="s">
        <v>238</v>
      </c>
      <c r="Q94" s="53" t="s">
        <v>421</v>
      </c>
      <c r="R94" s="2" t="s">
        <v>271</v>
      </c>
    </row>
    <row r="95" customFormat="false" ht="15" hidden="false" customHeight="false" outlineLevel="0" collapsed="false">
      <c r="A95" s="2" t="s">
        <v>422</v>
      </c>
      <c r="B95" s="37" t="s">
        <v>69</v>
      </c>
      <c r="C95" s="37" t="s">
        <v>251</v>
      </c>
      <c r="D95" s="37" t="s">
        <v>49</v>
      </c>
      <c r="E95" s="37" t="s">
        <v>15</v>
      </c>
      <c r="F95" s="44" t="n">
        <v>0.25</v>
      </c>
      <c r="G95" s="44" t="n">
        <v>0</v>
      </c>
      <c r="H95" s="50" t="n">
        <f aca="false">F95+G95</f>
        <v>0.25</v>
      </c>
      <c r="I95" s="2" t="n">
        <f aca="false">ROUND(H95*60,0)</f>
        <v>15</v>
      </c>
      <c r="J95" s="2" t="n">
        <f aca="false">ROUND(F95*60,0)</f>
        <v>15</v>
      </c>
      <c r="K95" s="2" t="n">
        <f aca="false">ROUND(G95*60,0)</f>
        <v>0</v>
      </c>
      <c r="L95" s="38" t="s">
        <v>109</v>
      </c>
      <c r="M95" s="51" t="n">
        <f aca="false">F95*IF(L95="CFO",Assumptions!$B$5,Assumptions!$B$4)+G95*Assumptions!$B$5</f>
        <v>23.75</v>
      </c>
      <c r="N95" s="45" t="n">
        <f aca="false">F95*INDEX(Assumptions!$B$8:$B$14,MATCH(E95,Assumptions!$A$8:$A$14,0))</f>
        <v>0.25</v>
      </c>
      <c r="O95" s="45" t="n">
        <f aca="false">G95*INDEX(Assumptions!$B$8:$B$14,MATCH(E95,Assumptions!$A$8:$A$14,0))</f>
        <v>0</v>
      </c>
      <c r="P95" s="52" t="s">
        <v>238</v>
      </c>
      <c r="Q95" s="53" t="s">
        <v>423</v>
      </c>
      <c r="R95" s="2" t="s">
        <v>271</v>
      </c>
    </row>
    <row r="96" customFormat="false" ht="15" hidden="false" customHeight="false" outlineLevel="0" collapsed="false">
      <c r="A96" s="2" t="s">
        <v>424</v>
      </c>
      <c r="B96" s="37" t="s">
        <v>70</v>
      </c>
      <c r="C96" s="37" t="s">
        <v>170</v>
      </c>
      <c r="D96" s="37" t="s">
        <v>237</v>
      </c>
      <c r="E96" s="37" t="s">
        <v>170</v>
      </c>
      <c r="F96" s="45" t="n">
        <f aca="false">IFERROR(INDEX('1099 Oct 30'!$H$5:$H$45,MATCH(B96,'1099 Oct 30'!$A$5:$A$45,0)),0)</f>
        <v>0.75</v>
      </c>
      <c r="G96" s="44" t="n">
        <v>0</v>
      </c>
      <c r="H96" s="50" t="n">
        <f aca="false">F96+G96</f>
        <v>0.75</v>
      </c>
      <c r="I96" s="2" t="n">
        <f aca="false">ROUND(H96*60,0)</f>
        <v>45</v>
      </c>
      <c r="J96" s="2" t="n">
        <f aca="false">ROUND(F96*60,0)</f>
        <v>45</v>
      </c>
      <c r="K96" s="2" t="n">
        <f aca="false">ROUND(G96*60,0)</f>
        <v>0</v>
      </c>
      <c r="L96" s="38" t="s">
        <v>109</v>
      </c>
      <c r="M96" s="51" t="n">
        <f aca="false">F96*IF(L96="CFO",Assumptions!$B$5,Assumptions!$B$4)+G96*Assumptions!$B$5</f>
        <v>71.25</v>
      </c>
      <c r="N96" s="45" t="n">
        <f aca="false">F96*INDEX(Assumptions!$B$8:$B$14,MATCH(E96,Assumptions!$A$8:$A$14,0))</f>
        <v>0.25</v>
      </c>
      <c r="O96" s="45" t="n">
        <f aca="false">G96*INDEX(Assumptions!$B$8:$B$14,MATCH(E96,Assumptions!$A$8:$A$14,0))</f>
        <v>0</v>
      </c>
      <c r="P96" s="52" t="s">
        <v>238</v>
      </c>
      <c r="Q96" s="53" t="s">
        <v>266</v>
      </c>
      <c r="R96" s="2" t="s">
        <v>258</v>
      </c>
    </row>
    <row r="97" customFormat="false" ht="15" hidden="false" customHeight="false" outlineLevel="0" collapsed="false">
      <c r="A97" s="2" t="s">
        <v>425</v>
      </c>
      <c r="B97" s="37" t="s">
        <v>70</v>
      </c>
      <c r="C97" s="37" t="s">
        <v>282</v>
      </c>
      <c r="D97" s="37" t="s">
        <v>28</v>
      </c>
      <c r="E97" s="37" t="s">
        <v>21</v>
      </c>
      <c r="F97" s="44" t="n">
        <v>0.75</v>
      </c>
      <c r="G97" s="44" t="n">
        <v>0</v>
      </c>
      <c r="H97" s="50" t="n">
        <f aca="false">F97+G97</f>
        <v>0.75</v>
      </c>
      <c r="I97" s="2" t="n">
        <f aca="false">ROUND(H97*60,0)</f>
        <v>45</v>
      </c>
      <c r="J97" s="2" t="n">
        <f aca="false">ROUND(F97*60,0)</f>
        <v>45</v>
      </c>
      <c r="K97" s="2" t="n">
        <f aca="false">ROUND(G97*60,0)</f>
        <v>0</v>
      </c>
      <c r="L97" s="38" t="s">
        <v>194</v>
      </c>
      <c r="M97" s="51" t="n">
        <f aca="false">F97*IF(L97="CFO",Assumptions!$B$5,Assumptions!$B$4)+G97*Assumptions!$B$5</f>
        <v>187.5</v>
      </c>
      <c r="N97" s="45" t="n">
        <f aca="false">F97*INDEX(Assumptions!$B$8:$B$14,MATCH(E97,Assumptions!$A$8:$A$14,0))</f>
        <v>0.0625</v>
      </c>
      <c r="O97" s="45" t="n">
        <f aca="false">G97*INDEX(Assumptions!$B$8:$B$14,MATCH(E97,Assumptions!$A$8:$A$14,0))</f>
        <v>0</v>
      </c>
      <c r="P97" s="56" t="s">
        <v>325</v>
      </c>
      <c r="Q97" s="53" t="s">
        <v>426</v>
      </c>
      <c r="R97" s="2" t="s">
        <v>258</v>
      </c>
    </row>
    <row r="98" customFormat="false" ht="15" hidden="false" customHeight="false" outlineLevel="0" collapsed="false">
      <c r="A98" s="2" t="s">
        <v>427</v>
      </c>
      <c r="B98" s="37" t="s">
        <v>70</v>
      </c>
      <c r="C98" s="37" t="s">
        <v>242</v>
      </c>
      <c r="D98" s="37" t="s">
        <v>14</v>
      </c>
      <c r="E98" s="37" t="s">
        <v>15</v>
      </c>
      <c r="F98" s="44" t="n">
        <v>7</v>
      </c>
      <c r="G98" s="44" t="n">
        <v>1</v>
      </c>
      <c r="H98" s="50" t="n">
        <f aca="false">F98+G98</f>
        <v>8</v>
      </c>
      <c r="I98" s="2" t="n">
        <f aca="false">ROUND(H98*60,0)</f>
        <v>480</v>
      </c>
      <c r="J98" s="2" t="n">
        <f aca="false">ROUND(F98*60,0)</f>
        <v>420</v>
      </c>
      <c r="K98" s="2" t="n">
        <f aca="false">ROUND(G98*60,0)</f>
        <v>60</v>
      </c>
      <c r="L98" s="38" t="s">
        <v>194</v>
      </c>
      <c r="M98" s="51" t="n">
        <f aca="false">F98*IF(L98="CFO",Assumptions!$B$5,Assumptions!$B$4)+G98*Assumptions!$B$5</f>
        <v>2000</v>
      </c>
      <c r="N98" s="45" t="n">
        <f aca="false">F98*INDEX(Assumptions!$B$8:$B$14,MATCH(E98,Assumptions!$A$8:$A$14,0))</f>
        <v>7</v>
      </c>
      <c r="O98" s="45" t="n">
        <f aca="false">G98*INDEX(Assumptions!$B$8:$B$14,MATCH(E98,Assumptions!$A$8:$A$14,0))</f>
        <v>1</v>
      </c>
      <c r="P98" s="56" t="s">
        <v>325</v>
      </c>
      <c r="Q98" s="53" t="s">
        <v>428</v>
      </c>
      <c r="R98" s="2" t="s">
        <v>258</v>
      </c>
    </row>
    <row r="99" customFormat="false" ht="15" hidden="false" customHeight="false" outlineLevel="0" collapsed="false">
      <c r="A99" s="2" t="s">
        <v>429</v>
      </c>
      <c r="B99" s="37" t="s">
        <v>71</v>
      </c>
      <c r="C99" s="37" t="s">
        <v>170</v>
      </c>
      <c r="D99" s="37" t="s">
        <v>237</v>
      </c>
      <c r="E99" s="37" t="s">
        <v>170</v>
      </c>
      <c r="F99" s="45" t="n">
        <f aca="false">IFERROR(INDEX('1099 Oct 30'!$H$5:$H$45,MATCH(B99,'1099 Oct 30'!$A$5:$A$45,0)),0)</f>
        <v>2</v>
      </c>
      <c r="G99" s="44" t="n">
        <v>0</v>
      </c>
      <c r="H99" s="50" t="n">
        <f aca="false">F99+G99</f>
        <v>2</v>
      </c>
      <c r="I99" s="2" t="n">
        <f aca="false">ROUND(H99*60,0)</f>
        <v>120</v>
      </c>
      <c r="J99" s="2" t="n">
        <f aca="false">ROUND(F99*60,0)</f>
        <v>120</v>
      </c>
      <c r="K99" s="2" t="n">
        <f aca="false">ROUND(G99*60,0)</f>
        <v>0</v>
      </c>
      <c r="L99" s="38" t="s">
        <v>109</v>
      </c>
      <c r="M99" s="51" t="n">
        <f aca="false">F99*IF(L99="CFO",Assumptions!$B$5,Assumptions!$B$4)+G99*Assumptions!$B$5</f>
        <v>190</v>
      </c>
      <c r="N99" s="45" t="n">
        <f aca="false">F99*INDEX(Assumptions!$B$8:$B$14,MATCH(E99,Assumptions!$A$8:$A$14,0))</f>
        <v>0.666666666666667</v>
      </c>
      <c r="O99" s="45" t="n">
        <f aca="false">G99*INDEX(Assumptions!$B$8:$B$14,MATCH(E99,Assumptions!$A$8:$A$14,0))</f>
        <v>0</v>
      </c>
      <c r="P99" s="52" t="s">
        <v>238</v>
      </c>
      <c r="Q99" s="53" t="s">
        <v>290</v>
      </c>
      <c r="R99" s="2" t="s">
        <v>295</v>
      </c>
    </row>
    <row r="100" customFormat="false" ht="15" hidden="false" customHeight="false" outlineLevel="0" collapsed="false">
      <c r="A100" s="2" t="s">
        <v>430</v>
      </c>
      <c r="B100" s="37" t="s">
        <v>71</v>
      </c>
      <c r="C100" s="37" t="s">
        <v>242</v>
      </c>
      <c r="D100" s="37" t="s">
        <v>14</v>
      </c>
      <c r="E100" s="37" t="s">
        <v>15</v>
      </c>
      <c r="F100" s="44" t="n">
        <v>5.5</v>
      </c>
      <c r="G100" s="44" t="n">
        <v>1</v>
      </c>
      <c r="H100" s="50" t="n">
        <f aca="false">F100+G100</f>
        <v>6.5</v>
      </c>
      <c r="I100" s="2" t="n">
        <f aca="false">ROUND(H100*60,0)</f>
        <v>390</v>
      </c>
      <c r="J100" s="2" t="n">
        <f aca="false">ROUND(F100*60,0)</f>
        <v>330</v>
      </c>
      <c r="K100" s="2" t="n">
        <f aca="false">ROUND(G100*60,0)</f>
        <v>60</v>
      </c>
      <c r="L100" s="38" t="s">
        <v>109</v>
      </c>
      <c r="M100" s="51" t="n">
        <f aca="false">F100*IF(L100="CFO",Assumptions!$B$5,Assumptions!$B$4)+G100*Assumptions!$B$5</f>
        <v>772.5</v>
      </c>
      <c r="N100" s="45" t="n">
        <f aca="false">F100*INDEX(Assumptions!$B$8:$B$14,MATCH(E100,Assumptions!$A$8:$A$14,0))</f>
        <v>5.5</v>
      </c>
      <c r="O100" s="45" t="n">
        <f aca="false">G100*INDEX(Assumptions!$B$8:$B$14,MATCH(E100,Assumptions!$A$8:$A$14,0))</f>
        <v>1</v>
      </c>
      <c r="P100" s="54" t="s">
        <v>243</v>
      </c>
      <c r="Q100" s="53" t="s">
        <v>431</v>
      </c>
      <c r="R100" s="2" t="s">
        <v>295</v>
      </c>
    </row>
    <row r="101" customFormat="false" ht="15" hidden="false" customHeight="false" outlineLevel="0" collapsed="false">
      <c r="A101" s="2" t="s">
        <v>432</v>
      </c>
      <c r="B101" s="37" t="s">
        <v>72</v>
      </c>
      <c r="C101" s="37" t="s">
        <v>170</v>
      </c>
      <c r="D101" s="37" t="s">
        <v>237</v>
      </c>
      <c r="E101" s="37" t="s">
        <v>170</v>
      </c>
      <c r="F101" s="45" t="n">
        <f aca="false">IFERROR(INDEX('1099 Oct 30'!$H$5:$H$45,MATCH(B101,'1099 Oct 30'!$A$5:$A$45,0)),0)</f>
        <v>0</v>
      </c>
      <c r="G101" s="44" t="n">
        <v>0</v>
      </c>
      <c r="H101" s="50" t="n">
        <f aca="false">F101+G101</f>
        <v>0</v>
      </c>
      <c r="I101" s="2" t="n">
        <f aca="false">ROUND(H101*60,0)</f>
        <v>0</v>
      </c>
      <c r="J101" s="2" t="n">
        <f aca="false">ROUND(F101*60,0)</f>
        <v>0</v>
      </c>
      <c r="K101" s="2" t="n">
        <f aca="false">ROUND(G101*60,0)</f>
        <v>0</v>
      </c>
      <c r="L101" s="38" t="s">
        <v>109</v>
      </c>
      <c r="M101" s="51" t="n">
        <f aca="false">F101*IF(L101="CFO",Assumptions!$B$5,Assumptions!$B$4)+G101*Assumptions!$B$5</f>
        <v>0</v>
      </c>
      <c r="N101" s="45" t="n">
        <f aca="false">F101*INDEX(Assumptions!$B$8:$B$14,MATCH(E101,Assumptions!$A$8:$A$14,0))</f>
        <v>0</v>
      </c>
      <c r="O101" s="45" t="n">
        <f aca="false">G101*INDEX(Assumptions!$B$8:$B$14,MATCH(E101,Assumptions!$A$8:$A$14,0))</f>
        <v>0</v>
      </c>
      <c r="P101" s="52" t="s">
        <v>238</v>
      </c>
      <c r="Q101" s="53" t="s">
        <v>270</v>
      </c>
      <c r="R101" s="2" t="s">
        <v>246</v>
      </c>
    </row>
    <row r="102" customFormat="false" ht="15" hidden="false" customHeight="false" outlineLevel="0" collapsed="false">
      <c r="A102" s="2" t="s">
        <v>433</v>
      </c>
      <c r="B102" s="37" t="s">
        <v>72</v>
      </c>
      <c r="C102" s="37" t="s">
        <v>248</v>
      </c>
      <c r="D102" s="37" t="s">
        <v>17</v>
      </c>
      <c r="E102" s="37" t="s">
        <v>13</v>
      </c>
      <c r="F102" s="44" t="n">
        <v>1</v>
      </c>
      <c r="G102" s="44" t="n">
        <v>1.5</v>
      </c>
      <c r="H102" s="50" t="n">
        <f aca="false">F102+G102</f>
        <v>2.5</v>
      </c>
      <c r="I102" s="2" t="n">
        <f aca="false">ROUND(H102*60,0)</f>
        <v>150</v>
      </c>
      <c r="J102" s="2" t="n">
        <f aca="false">ROUND(F102*60,0)</f>
        <v>60</v>
      </c>
      <c r="K102" s="2" t="n">
        <f aca="false">ROUND(G102*60,0)</f>
        <v>90</v>
      </c>
      <c r="L102" s="38" t="s">
        <v>194</v>
      </c>
      <c r="M102" s="51" t="n">
        <f aca="false">F102*IF(L102="CFO",Assumptions!$B$5,Assumptions!$B$4)+G102*Assumptions!$B$5</f>
        <v>625</v>
      </c>
      <c r="N102" s="45" t="n">
        <f aca="false">F102*INDEX(Assumptions!$B$8:$B$14,MATCH(E102,Assumptions!$A$8:$A$14,0))</f>
        <v>0.333333333333333</v>
      </c>
      <c r="O102" s="45" t="n">
        <f aca="false">G102*INDEX(Assumptions!$B$8:$B$14,MATCH(E102,Assumptions!$A$8:$A$14,0))</f>
        <v>0.5</v>
      </c>
      <c r="P102" s="54" t="s">
        <v>243</v>
      </c>
      <c r="Q102" s="53" t="s">
        <v>434</v>
      </c>
      <c r="R102" s="2" t="s">
        <v>246</v>
      </c>
    </row>
    <row r="103" customFormat="false" ht="15" hidden="false" customHeight="false" outlineLevel="0" collapsed="false">
      <c r="A103" s="2" t="s">
        <v>435</v>
      </c>
      <c r="B103" s="37" t="s">
        <v>73</v>
      </c>
      <c r="C103" s="37" t="s">
        <v>170</v>
      </c>
      <c r="D103" s="37" t="s">
        <v>237</v>
      </c>
      <c r="E103" s="37" t="s">
        <v>170</v>
      </c>
      <c r="F103" s="45" t="n">
        <f aca="false">IFERROR(INDEX('1099 Oct 30'!$H$5:$H$45,MATCH(B103,'1099 Oct 30'!$A$5:$A$45,0)),0)</f>
        <v>2</v>
      </c>
      <c r="G103" s="44" t="n">
        <v>0</v>
      </c>
      <c r="H103" s="50" t="n">
        <f aca="false">F103+G103</f>
        <v>2</v>
      </c>
      <c r="I103" s="2" t="n">
        <f aca="false">ROUND(H103*60,0)</f>
        <v>120</v>
      </c>
      <c r="J103" s="2" t="n">
        <f aca="false">ROUND(F103*60,0)</f>
        <v>120</v>
      </c>
      <c r="K103" s="2" t="n">
        <f aca="false">ROUND(G103*60,0)</f>
        <v>0</v>
      </c>
      <c r="L103" s="38" t="s">
        <v>109</v>
      </c>
      <c r="M103" s="51" t="n">
        <f aca="false">F103*IF(L103="CFO",Assumptions!$B$5,Assumptions!$B$4)+G103*Assumptions!$B$5</f>
        <v>190</v>
      </c>
      <c r="N103" s="45" t="n">
        <f aca="false">F103*INDEX(Assumptions!$B$8:$B$14,MATCH(E103,Assumptions!$A$8:$A$14,0))</f>
        <v>0.666666666666667</v>
      </c>
      <c r="O103" s="45" t="n">
        <f aca="false">G103*INDEX(Assumptions!$B$8:$B$14,MATCH(E103,Assumptions!$A$8:$A$14,0))</f>
        <v>0</v>
      </c>
      <c r="P103" s="52" t="s">
        <v>238</v>
      </c>
      <c r="Q103" s="53" t="s">
        <v>436</v>
      </c>
      <c r="R103" s="2" t="s">
        <v>323</v>
      </c>
    </row>
    <row r="104" customFormat="false" ht="15" hidden="false" customHeight="false" outlineLevel="0" collapsed="false">
      <c r="A104" s="2" t="s">
        <v>437</v>
      </c>
      <c r="B104" s="37" t="s">
        <v>73</v>
      </c>
      <c r="C104" s="37" t="s">
        <v>282</v>
      </c>
      <c r="D104" s="37" t="s">
        <v>28</v>
      </c>
      <c r="E104" s="37" t="s">
        <v>21</v>
      </c>
      <c r="F104" s="44" t="n">
        <v>4.5</v>
      </c>
      <c r="G104" s="44" t="n">
        <v>0</v>
      </c>
      <c r="H104" s="50" t="n">
        <f aca="false">F104+G104</f>
        <v>4.5</v>
      </c>
      <c r="I104" s="2" t="n">
        <f aca="false">ROUND(H104*60,0)</f>
        <v>270</v>
      </c>
      <c r="J104" s="2" t="n">
        <f aca="false">ROUND(F104*60,0)</f>
        <v>270</v>
      </c>
      <c r="K104" s="2" t="n">
        <f aca="false">ROUND(G104*60,0)</f>
        <v>0</v>
      </c>
      <c r="L104" s="38" t="s">
        <v>194</v>
      </c>
      <c r="M104" s="51" t="n">
        <f aca="false">F104*IF(L104="CFO",Assumptions!$B$5,Assumptions!$B$4)+G104*Assumptions!$B$5</f>
        <v>1125</v>
      </c>
      <c r="N104" s="45" t="n">
        <f aca="false">F104*INDEX(Assumptions!$B$8:$B$14,MATCH(E104,Assumptions!$A$8:$A$14,0))</f>
        <v>0.375</v>
      </c>
      <c r="O104" s="45" t="n">
        <f aca="false">G104*INDEX(Assumptions!$B$8:$B$14,MATCH(E104,Assumptions!$A$8:$A$14,0))</f>
        <v>0</v>
      </c>
      <c r="P104" s="54" t="s">
        <v>243</v>
      </c>
      <c r="Q104" s="53" t="s">
        <v>438</v>
      </c>
      <c r="R104" s="2" t="s">
        <v>323</v>
      </c>
    </row>
    <row r="105" customFormat="false" ht="15" hidden="false" customHeight="false" outlineLevel="0" collapsed="false">
      <c r="A105" s="2" t="s">
        <v>439</v>
      </c>
      <c r="B105" s="37" t="s">
        <v>73</v>
      </c>
      <c r="C105" s="37" t="s">
        <v>242</v>
      </c>
      <c r="D105" s="37" t="s">
        <v>14</v>
      </c>
      <c r="E105" s="37" t="s">
        <v>15</v>
      </c>
      <c r="F105" s="44" t="n">
        <v>1</v>
      </c>
      <c r="G105" s="44" t="n">
        <v>0.5</v>
      </c>
      <c r="H105" s="50" t="n">
        <f aca="false">F105+G105</f>
        <v>1.5</v>
      </c>
      <c r="I105" s="2" t="n">
        <f aca="false">ROUND(H105*60,0)</f>
        <v>90</v>
      </c>
      <c r="J105" s="2" t="n">
        <f aca="false">ROUND(F105*60,0)</f>
        <v>60</v>
      </c>
      <c r="K105" s="2" t="n">
        <f aca="false">ROUND(G105*60,0)</f>
        <v>30</v>
      </c>
      <c r="L105" s="38" t="s">
        <v>109</v>
      </c>
      <c r="M105" s="51" t="n">
        <f aca="false">F105*IF(L105="CFO",Assumptions!$B$5,Assumptions!$B$4)+G105*Assumptions!$B$5</f>
        <v>220</v>
      </c>
      <c r="N105" s="45" t="n">
        <f aca="false">F105*INDEX(Assumptions!$B$8:$B$14,MATCH(E105,Assumptions!$A$8:$A$14,0))</f>
        <v>1</v>
      </c>
      <c r="O105" s="45" t="n">
        <f aca="false">G105*INDEX(Assumptions!$B$8:$B$14,MATCH(E105,Assumptions!$A$8:$A$14,0))</f>
        <v>0.5</v>
      </c>
      <c r="P105" s="56" t="s">
        <v>389</v>
      </c>
      <c r="Q105" s="53" t="s">
        <v>440</v>
      </c>
      <c r="R105" s="2" t="s">
        <v>323</v>
      </c>
    </row>
    <row r="106" customFormat="false" ht="15" hidden="false" customHeight="false" outlineLevel="0" collapsed="false">
      <c r="A106" s="2" t="s">
        <v>441</v>
      </c>
      <c r="B106" s="37" t="s">
        <v>74</v>
      </c>
      <c r="C106" s="37" t="s">
        <v>170</v>
      </c>
      <c r="D106" s="37" t="s">
        <v>237</v>
      </c>
      <c r="E106" s="37" t="s">
        <v>170</v>
      </c>
      <c r="F106" s="45" t="n">
        <f aca="false">IFERROR(INDEX('1099 Oct 30'!$H$5:$H$45,MATCH(B106,'1099 Oct 30'!$A$5:$A$45,0)),0)</f>
        <v>0.375</v>
      </c>
      <c r="G106" s="44" t="n">
        <v>0</v>
      </c>
      <c r="H106" s="50" t="n">
        <f aca="false">F106+G106</f>
        <v>0.375</v>
      </c>
      <c r="I106" s="2" t="n">
        <f aca="false">ROUND(H106*60,0)</f>
        <v>23</v>
      </c>
      <c r="J106" s="2" t="n">
        <f aca="false">ROUND(F106*60,0)</f>
        <v>23</v>
      </c>
      <c r="K106" s="2" t="n">
        <f aca="false">ROUND(G106*60,0)</f>
        <v>0</v>
      </c>
      <c r="L106" s="38" t="s">
        <v>109</v>
      </c>
      <c r="M106" s="51" t="n">
        <f aca="false">F106*IF(L106="CFO",Assumptions!$B$5,Assumptions!$B$4)+G106*Assumptions!$B$5</f>
        <v>35.625</v>
      </c>
      <c r="N106" s="45" t="n">
        <f aca="false">F106*INDEX(Assumptions!$B$8:$B$14,MATCH(E106,Assumptions!$A$8:$A$14,0))</f>
        <v>0.125</v>
      </c>
      <c r="O106" s="45" t="n">
        <f aca="false">G106*INDEX(Assumptions!$B$8:$B$14,MATCH(E106,Assumptions!$A$8:$A$14,0))</f>
        <v>0</v>
      </c>
      <c r="P106" s="52" t="s">
        <v>238</v>
      </c>
      <c r="Q106" s="53" t="s">
        <v>442</v>
      </c>
      <c r="R106" s="2" t="s">
        <v>258</v>
      </c>
    </row>
    <row r="107" customFormat="false" ht="15" hidden="false" customHeight="false" outlineLevel="0" collapsed="false">
      <c r="A107" s="2" t="s">
        <v>443</v>
      </c>
      <c r="B107" s="37" t="s">
        <v>74</v>
      </c>
      <c r="C107" s="37" t="s">
        <v>242</v>
      </c>
      <c r="D107" s="37" t="s">
        <v>14</v>
      </c>
      <c r="E107" s="37" t="s">
        <v>15</v>
      </c>
      <c r="F107" s="44" t="n">
        <v>1.5833</v>
      </c>
      <c r="G107" s="44" t="n">
        <v>0.4833</v>
      </c>
      <c r="H107" s="50" t="n">
        <f aca="false">F107+G107</f>
        <v>2.0666</v>
      </c>
      <c r="I107" s="2" t="n">
        <f aca="false">ROUND(H107*60,0)</f>
        <v>124</v>
      </c>
      <c r="J107" s="2" t="n">
        <f aca="false">ROUND(F107*60,0)</f>
        <v>95</v>
      </c>
      <c r="K107" s="2" t="n">
        <f aca="false">ROUND(G107*60,0)</f>
        <v>29</v>
      </c>
      <c r="L107" s="38" t="s">
        <v>109</v>
      </c>
      <c r="M107" s="51" t="n">
        <f aca="false">F107*IF(L107="CFO",Assumptions!$B$5,Assumptions!$B$4)+G107*Assumptions!$B$5</f>
        <v>271.2385</v>
      </c>
      <c r="N107" s="45" t="n">
        <f aca="false">F107*INDEX(Assumptions!$B$8:$B$14,MATCH(E107,Assumptions!$A$8:$A$14,0))</f>
        <v>1.5833</v>
      </c>
      <c r="O107" s="45" t="n">
        <f aca="false">G107*INDEX(Assumptions!$B$8:$B$14,MATCH(E107,Assumptions!$A$8:$A$14,0))</f>
        <v>0.4833</v>
      </c>
      <c r="P107" s="56" t="s">
        <v>325</v>
      </c>
      <c r="Q107" s="53" t="s">
        <v>444</v>
      </c>
      <c r="R107" s="2" t="s">
        <v>258</v>
      </c>
    </row>
    <row r="108" customFormat="false" ht="15" hidden="false" customHeight="false" outlineLevel="0" collapsed="false">
      <c r="A108" s="2" t="s">
        <v>445</v>
      </c>
      <c r="B108" s="37" t="s">
        <v>75</v>
      </c>
      <c r="C108" s="37" t="s">
        <v>170</v>
      </c>
      <c r="D108" s="37" t="s">
        <v>237</v>
      </c>
      <c r="E108" s="37" t="s">
        <v>170</v>
      </c>
      <c r="F108" s="45" t="n">
        <f aca="false">IFERROR(INDEX('1099 Oct 30'!$H$5:$H$45,MATCH(B108,'1099 Oct 30'!$A$5:$A$45,0)),0)</f>
        <v>0.375</v>
      </c>
      <c r="G108" s="44" t="n">
        <v>0</v>
      </c>
      <c r="H108" s="50" t="n">
        <f aca="false">F108+G108</f>
        <v>0.375</v>
      </c>
      <c r="I108" s="2" t="n">
        <f aca="false">ROUND(H108*60,0)</f>
        <v>23</v>
      </c>
      <c r="J108" s="2" t="n">
        <f aca="false">ROUND(F108*60,0)</f>
        <v>23</v>
      </c>
      <c r="K108" s="2" t="n">
        <f aca="false">ROUND(G108*60,0)</f>
        <v>0</v>
      </c>
      <c r="L108" s="38" t="s">
        <v>109</v>
      </c>
      <c r="M108" s="51" t="n">
        <f aca="false">F108*IF(L108="CFO",Assumptions!$B$5,Assumptions!$B$4)+G108*Assumptions!$B$5</f>
        <v>35.625</v>
      </c>
      <c r="N108" s="45" t="n">
        <f aca="false">F108*INDEX(Assumptions!$B$8:$B$14,MATCH(E108,Assumptions!$A$8:$A$14,0))</f>
        <v>0.125</v>
      </c>
      <c r="O108" s="45" t="n">
        <f aca="false">G108*INDEX(Assumptions!$B$8:$B$14,MATCH(E108,Assumptions!$A$8:$A$14,0))</f>
        <v>0</v>
      </c>
      <c r="P108" s="52" t="s">
        <v>238</v>
      </c>
      <c r="Q108" s="53" t="s">
        <v>270</v>
      </c>
      <c r="R108" s="2" t="s">
        <v>240</v>
      </c>
    </row>
    <row r="109" customFormat="false" ht="15" hidden="false" customHeight="false" outlineLevel="0" collapsed="false">
      <c r="A109" s="2" t="s">
        <v>446</v>
      </c>
      <c r="B109" s="37" t="s">
        <v>75</v>
      </c>
      <c r="C109" s="37" t="s">
        <v>242</v>
      </c>
      <c r="D109" s="37" t="s">
        <v>14</v>
      </c>
      <c r="E109" s="37" t="s">
        <v>15</v>
      </c>
      <c r="F109" s="44" t="n">
        <v>0.75</v>
      </c>
      <c r="G109" s="44" t="n">
        <v>0.3833</v>
      </c>
      <c r="H109" s="50" t="n">
        <f aca="false">F109+G109</f>
        <v>1.1333</v>
      </c>
      <c r="I109" s="2" t="n">
        <f aca="false">ROUND(H109*60,0)</f>
        <v>68</v>
      </c>
      <c r="J109" s="2" t="n">
        <f aca="false">ROUND(F109*60,0)</f>
        <v>45</v>
      </c>
      <c r="K109" s="2" t="n">
        <f aca="false">ROUND(G109*60,0)</f>
        <v>23</v>
      </c>
      <c r="L109" s="38" t="s">
        <v>109</v>
      </c>
      <c r="M109" s="51" t="n">
        <f aca="false">F109*IF(L109="CFO",Assumptions!$B$5,Assumptions!$B$4)+G109*Assumptions!$B$5</f>
        <v>167.075</v>
      </c>
      <c r="N109" s="45" t="n">
        <f aca="false">F109*INDEX(Assumptions!$B$8:$B$14,MATCH(E109,Assumptions!$A$8:$A$14,0))</f>
        <v>0.75</v>
      </c>
      <c r="O109" s="45" t="n">
        <f aca="false">G109*INDEX(Assumptions!$B$8:$B$14,MATCH(E109,Assumptions!$A$8:$A$14,0))</f>
        <v>0.3833</v>
      </c>
      <c r="P109" s="55" t="s">
        <v>273</v>
      </c>
      <c r="Q109" s="53" t="s">
        <v>274</v>
      </c>
      <c r="R109" s="2" t="s">
        <v>240</v>
      </c>
    </row>
    <row r="110" customFormat="false" ht="15" hidden="false" customHeight="false" outlineLevel="0" collapsed="false">
      <c r="A110" s="2" t="s">
        <v>447</v>
      </c>
      <c r="B110" s="37" t="s">
        <v>76</v>
      </c>
      <c r="C110" s="37" t="s">
        <v>170</v>
      </c>
      <c r="D110" s="37" t="s">
        <v>237</v>
      </c>
      <c r="E110" s="37" t="s">
        <v>170</v>
      </c>
      <c r="F110" s="45" t="n">
        <f aca="false">IFERROR(INDEX('1099 Oct 30'!$H$5:$H$45,MATCH(B110,'1099 Oct 30'!$A$5:$A$45,0)),0)</f>
        <v>0.75</v>
      </c>
      <c r="G110" s="44" t="n">
        <v>0</v>
      </c>
      <c r="H110" s="50" t="n">
        <f aca="false">F110+G110</f>
        <v>0.75</v>
      </c>
      <c r="I110" s="2" t="n">
        <f aca="false">ROUND(H110*60,0)</f>
        <v>45</v>
      </c>
      <c r="J110" s="2" t="n">
        <f aca="false">ROUND(F110*60,0)</f>
        <v>45</v>
      </c>
      <c r="K110" s="2" t="n">
        <f aca="false">ROUND(G110*60,0)</f>
        <v>0</v>
      </c>
      <c r="L110" s="38" t="s">
        <v>109</v>
      </c>
      <c r="M110" s="51" t="n">
        <f aca="false">F110*IF(L110="CFO",Assumptions!$B$5,Assumptions!$B$4)+G110*Assumptions!$B$5</f>
        <v>71.25</v>
      </c>
      <c r="N110" s="45" t="n">
        <f aca="false">F110*INDEX(Assumptions!$B$8:$B$14,MATCH(E110,Assumptions!$A$8:$A$14,0))</f>
        <v>0.25</v>
      </c>
      <c r="O110" s="45" t="n">
        <f aca="false">G110*INDEX(Assumptions!$B$8:$B$14,MATCH(E110,Assumptions!$A$8:$A$14,0))</f>
        <v>0</v>
      </c>
      <c r="P110" s="52" t="s">
        <v>238</v>
      </c>
      <c r="Q110" s="53" t="s">
        <v>266</v>
      </c>
      <c r="R110" s="2" t="s">
        <v>240</v>
      </c>
    </row>
    <row r="111" customFormat="false" ht="15" hidden="false" customHeight="false" outlineLevel="0" collapsed="false">
      <c r="A111" s="2" t="s">
        <v>448</v>
      </c>
      <c r="B111" s="37" t="s">
        <v>76</v>
      </c>
      <c r="C111" s="37" t="s">
        <v>384</v>
      </c>
      <c r="D111" s="37" t="s">
        <v>77</v>
      </c>
      <c r="E111" s="37" t="s">
        <v>56</v>
      </c>
      <c r="F111" s="44" t="n">
        <v>4.25</v>
      </c>
      <c r="G111" s="44" t="n">
        <v>0.25</v>
      </c>
      <c r="H111" s="50" t="n">
        <f aca="false">F111+G111</f>
        <v>4.5</v>
      </c>
      <c r="I111" s="2" t="n">
        <f aca="false">ROUND(H111*60,0)</f>
        <v>270</v>
      </c>
      <c r="J111" s="2" t="n">
        <f aca="false">ROUND(F111*60,0)</f>
        <v>255</v>
      </c>
      <c r="K111" s="2" t="n">
        <f aca="false">ROUND(G111*60,0)</f>
        <v>15</v>
      </c>
      <c r="L111" s="38" t="s">
        <v>109</v>
      </c>
      <c r="M111" s="51" t="n">
        <f aca="false">F111*IF(L111="CFO",Assumptions!$B$5,Assumptions!$B$4)+G111*Assumptions!$B$5</f>
        <v>466.25</v>
      </c>
      <c r="N111" s="45" t="n">
        <f aca="false">F111*INDEX(Assumptions!$B$8:$B$14,MATCH(E111,Assumptions!$A$8:$A$14,0))</f>
        <v>9.20833333333333</v>
      </c>
      <c r="O111" s="45" t="n">
        <f aca="false">G111*INDEX(Assumptions!$B$8:$B$14,MATCH(E111,Assumptions!$A$8:$A$14,0))</f>
        <v>0.541666666666667</v>
      </c>
      <c r="P111" s="56" t="s">
        <v>325</v>
      </c>
      <c r="Q111" s="53" t="s">
        <v>449</v>
      </c>
      <c r="R111" s="2" t="s">
        <v>240</v>
      </c>
    </row>
    <row r="112" customFormat="false" ht="15" hidden="false" customHeight="false" outlineLevel="0" collapsed="false">
      <c r="A112" s="2" t="s">
        <v>450</v>
      </c>
      <c r="B112" s="37" t="s">
        <v>76</v>
      </c>
      <c r="C112" s="37" t="s">
        <v>242</v>
      </c>
      <c r="D112" s="37" t="s">
        <v>14</v>
      </c>
      <c r="E112" s="37" t="s">
        <v>15</v>
      </c>
      <c r="F112" s="44" t="n">
        <v>5.5833</v>
      </c>
      <c r="G112" s="44" t="n">
        <v>0.5</v>
      </c>
      <c r="H112" s="50" t="n">
        <f aca="false">F112+G112</f>
        <v>6.0833</v>
      </c>
      <c r="I112" s="2" t="n">
        <f aca="false">ROUND(H112*60,0)</f>
        <v>365</v>
      </c>
      <c r="J112" s="2" t="n">
        <f aca="false">ROUND(F112*60,0)</f>
        <v>335</v>
      </c>
      <c r="K112" s="2" t="n">
        <f aca="false">ROUND(G112*60,0)</f>
        <v>30</v>
      </c>
      <c r="L112" s="38" t="s">
        <v>109</v>
      </c>
      <c r="M112" s="51" t="n">
        <f aca="false">F112*IF(L112="CFO",Assumptions!$B$5,Assumptions!$B$4)+G112*Assumptions!$B$5</f>
        <v>655.4135</v>
      </c>
      <c r="N112" s="45" t="n">
        <f aca="false">F112*INDEX(Assumptions!$B$8:$B$14,MATCH(E112,Assumptions!$A$8:$A$14,0))</f>
        <v>5.5833</v>
      </c>
      <c r="O112" s="45" t="n">
        <f aca="false">G112*INDEX(Assumptions!$B$8:$B$14,MATCH(E112,Assumptions!$A$8:$A$14,0))</f>
        <v>0.5</v>
      </c>
      <c r="P112" s="56" t="s">
        <v>325</v>
      </c>
      <c r="Q112" s="53" t="s">
        <v>451</v>
      </c>
      <c r="R112" s="2" t="s">
        <v>240</v>
      </c>
    </row>
    <row r="113" customFormat="false" ht="15" hidden="false" customHeight="false" outlineLevel="0" collapsed="false">
      <c r="A113" s="2" t="s">
        <v>452</v>
      </c>
      <c r="B113" s="37" t="s">
        <v>76</v>
      </c>
      <c r="C113" s="37" t="s">
        <v>251</v>
      </c>
      <c r="D113" s="37" t="s">
        <v>78</v>
      </c>
      <c r="E113" s="37" t="s">
        <v>15</v>
      </c>
      <c r="F113" s="44" t="n">
        <v>4.4167</v>
      </c>
      <c r="G113" s="44" t="n">
        <v>0</v>
      </c>
      <c r="H113" s="50" t="n">
        <f aca="false">F113+G113</f>
        <v>4.4167</v>
      </c>
      <c r="I113" s="2" t="n">
        <f aca="false">ROUND(H113*60,0)</f>
        <v>265</v>
      </c>
      <c r="J113" s="2" t="n">
        <f aca="false">ROUND(F113*60,0)</f>
        <v>265</v>
      </c>
      <c r="K113" s="2" t="n">
        <f aca="false">ROUND(G113*60,0)</f>
        <v>0</v>
      </c>
      <c r="L113" s="38" t="s">
        <v>109</v>
      </c>
      <c r="M113" s="51" t="n">
        <f aca="false">F113*IF(L113="CFO",Assumptions!$B$5,Assumptions!$B$4)+G113*Assumptions!$B$5</f>
        <v>419.5865</v>
      </c>
      <c r="N113" s="45" t="n">
        <f aca="false">F113*INDEX(Assumptions!$B$8:$B$14,MATCH(E113,Assumptions!$A$8:$A$14,0))</f>
        <v>4.4167</v>
      </c>
      <c r="O113" s="45" t="n">
        <f aca="false">G113*INDEX(Assumptions!$B$8:$B$14,MATCH(E113,Assumptions!$A$8:$A$14,0))</f>
        <v>0</v>
      </c>
      <c r="P113" s="56" t="s">
        <v>325</v>
      </c>
      <c r="Q113" s="53" t="s">
        <v>453</v>
      </c>
      <c r="R113" s="2" t="s">
        <v>240</v>
      </c>
    </row>
    <row r="114" customFormat="false" ht="15" hidden="false" customHeight="false" outlineLevel="0" collapsed="false">
      <c r="A114" s="2" t="s">
        <v>454</v>
      </c>
      <c r="B114" s="37" t="s">
        <v>76</v>
      </c>
      <c r="C114" s="37" t="s">
        <v>254</v>
      </c>
      <c r="D114" s="37" t="s">
        <v>79</v>
      </c>
      <c r="E114" s="37" t="s">
        <v>30</v>
      </c>
      <c r="F114" s="44" t="n">
        <v>1.0833</v>
      </c>
      <c r="G114" s="44" t="n">
        <v>0.25</v>
      </c>
      <c r="H114" s="50" t="n">
        <f aca="false">F114+G114</f>
        <v>1.3333</v>
      </c>
      <c r="I114" s="2" t="n">
        <f aca="false">ROUND(H114*60,0)</f>
        <v>80</v>
      </c>
      <c r="J114" s="2" t="n">
        <f aca="false">ROUND(F114*60,0)</f>
        <v>65</v>
      </c>
      <c r="K114" s="2" t="n">
        <f aca="false">ROUND(G114*60,0)</f>
        <v>15</v>
      </c>
      <c r="L114" s="38" t="s">
        <v>109</v>
      </c>
      <c r="M114" s="51" t="n">
        <f aca="false">F114*IF(L114="CFO",Assumptions!$B$5,Assumptions!$B$4)+G114*Assumptions!$B$5</f>
        <v>165.4135</v>
      </c>
      <c r="N114" s="45" t="n">
        <f aca="false">F114*INDEX(Assumptions!$B$8:$B$14,MATCH(E114,Assumptions!$A$8:$A$14,0))</f>
        <v>4.6943</v>
      </c>
      <c r="O114" s="45" t="n">
        <f aca="false">G114*INDEX(Assumptions!$B$8:$B$14,MATCH(E114,Assumptions!$A$8:$A$14,0))</f>
        <v>1.08333333333333</v>
      </c>
      <c r="P114" s="56" t="s">
        <v>325</v>
      </c>
      <c r="Q114" s="53" t="s">
        <v>455</v>
      </c>
      <c r="R114" s="2" t="s">
        <v>240</v>
      </c>
    </row>
    <row r="115" customFormat="false" ht="15" hidden="false" customHeight="false" outlineLevel="0" collapsed="false">
      <c r="A115" s="2" t="s">
        <v>456</v>
      </c>
      <c r="B115" s="37" t="s">
        <v>76</v>
      </c>
      <c r="C115" s="37" t="s">
        <v>287</v>
      </c>
      <c r="D115" s="37" t="s">
        <v>80</v>
      </c>
      <c r="E115" s="37" t="s">
        <v>30</v>
      </c>
      <c r="F115" s="44" t="n">
        <v>0.1667</v>
      </c>
      <c r="G115" s="44" t="n">
        <v>0</v>
      </c>
      <c r="H115" s="50" t="n">
        <f aca="false">F115+G115</f>
        <v>0.1667</v>
      </c>
      <c r="I115" s="2" t="n">
        <f aca="false">ROUND(H115*60,0)</f>
        <v>10</v>
      </c>
      <c r="J115" s="2" t="n">
        <f aca="false">ROUND(F115*60,0)</f>
        <v>10</v>
      </c>
      <c r="K115" s="2" t="n">
        <f aca="false">ROUND(G115*60,0)</f>
        <v>0</v>
      </c>
      <c r="L115" s="38" t="s">
        <v>194</v>
      </c>
      <c r="M115" s="51" t="n">
        <f aca="false">F115*IF(L115="CFO",Assumptions!$B$5,Assumptions!$B$4)+G115*Assumptions!$B$5</f>
        <v>41.675</v>
      </c>
      <c r="N115" s="45" t="n">
        <f aca="false">F115*INDEX(Assumptions!$B$8:$B$14,MATCH(E115,Assumptions!$A$8:$A$14,0))</f>
        <v>0.722366666666667</v>
      </c>
      <c r="O115" s="45" t="n">
        <f aca="false">G115*INDEX(Assumptions!$B$8:$B$14,MATCH(E115,Assumptions!$A$8:$A$14,0))</f>
        <v>0</v>
      </c>
      <c r="P115" s="56" t="s">
        <v>325</v>
      </c>
      <c r="Q115" s="53" t="s">
        <v>457</v>
      </c>
      <c r="R115" s="2" t="s">
        <v>240</v>
      </c>
    </row>
    <row r="116" customFormat="false" ht="15" hidden="false" customHeight="false" outlineLevel="0" collapsed="false">
      <c r="A116" s="2" t="s">
        <v>458</v>
      </c>
      <c r="B116" s="37" t="s">
        <v>81</v>
      </c>
      <c r="C116" s="37" t="s">
        <v>170</v>
      </c>
      <c r="D116" s="37" t="s">
        <v>237</v>
      </c>
      <c r="E116" s="37" t="s">
        <v>170</v>
      </c>
      <c r="F116" s="45" t="n">
        <f aca="false">IFERROR(INDEX('1099 Oct 30'!$H$5:$H$45,MATCH(B116,'1099 Oct 30'!$A$5:$A$45,0)),0)</f>
        <v>0.75</v>
      </c>
      <c r="G116" s="44" t="n">
        <v>0</v>
      </c>
      <c r="H116" s="50" t="n">
        <f aca="false">F116+G116</f>
        <v>0.75</v>
      </c>
      <c r="I116" s="2" t="n">
        <f aca="false">ROUND(H116*60,0)</f>
        <v>45</v>
      </c>
      <c r="J116" s="2" t="n">
        <f aca="false">ROUND(F116*60,0)</f>
        <v>45</v>
      </c>
      <c r="K116" s="2" t="n">
        <f aca="false">ROUND(G116*60,0)</f>
        <v>0</v>
      </c>
      <c r="L116" s="38" t="s">
        <v>109</v>
      </c>
      <c r="M116" s="51" t="n">
        <f aca="false">F116*IF(L116="CFO",Assumptions!$B$5,Assumptions!$B$4)+G116*Assumptions!$B$5</f>
        <v>71.25</v>
      </c>
      <c r="N116" s="45" t="n">
        <f aca="false">F116*INDEX(Assumptions!$B$8:$B$14,MATCH(E116,Assumptions!$A$8:$A$14,0))</f>
        <v>0.25</v>
      </c>
      <c r="O116" s="45" t="n">
        <f aca="false">G116*INDEX(Assumptions!$B$8:$B$14,MATCH(E116,Assumptions!$A$8:$A$14,0))</f>
        <v>0</v>
      </c>
      <c r="P116" s="52" t="s">
        <v>238</v>
      </c>
      <c r="Q116" s="53" t="s">
        <v>266</v>
      </c>
      <c r="R116" s="2" t="s">
        <v>240</v>
      </c>
    </row>
    <row r="117" customFormat="false" ht="15" hidden="false" customHeight="false" outlineLevel="0" collapsed="false">
      <c r="A117" s="2" t="s">
        <v>459</v>
      </c>
      <c r="B117" s="37" t="s">
        <v>81</v>
      </c>
      <c r="C117" s="37" t="s">
        <v>242</v>
      </c>
      <c r="D117" s="37" t="s">
        <v>14</v>
      </c>
      <c r="E117" s="37" t="s">
        <v>15</v>
      </c>
      <c r="F117" s="44" t="n">
        <v>0.5</v>
      </c>
      <c r="G117" s="44" t="n">
        <v>0.6</v>
      </c>
      <c r="H117" s="50" t="n">
        <f aca="false">F117+G117</f>
        <v>1.1</v>
      </c>
      <c r="I117" s="2" t="n">
        <f aca="false">ROUND(H117*60,0)</f>
        <v>66</v>
      </c>
      <c r="J117" s="2" t="n">
        <f aca="false">ROUND(F117*60,0)</f>
        <v>30</v>
      </c>
      <c r="K117" s="2" t="n">
        <f aca="false">ROUND(G117*60,0)</f>
        <v>36</v>
      </c>
      <c r="L117" s="38" t="s">
        <v>109</v>
      </c>
      <c r="M117" s="51" t="n">
        <f aca="false">F117*IF(L117="CFO",Assumptions!$B$5,Assumptions!$B$4)+G117*Assumptions!$B$5</f>
        <v>197.5</v>
      </c>
      <c r="N117" s="45" t="n">
        <f aca="false">F117*INDEX(Assumptions!$B$8:$B$14,MATCH(E117,Assumptions!$A$8:$A$14,0))</f>
        <v>0.5</v>
      </c>
      <c r="O117" s="45" t="n">
        <f aca="false">G117*INDEX(Assumptions!$B$8:$B$14,MATCH(E117,Assumptions!$A$8:$A$14,0))</f>
        <v>0.6</v>
      </c>
      <c r="P117" s="55" t="s">
        <v>273</v>
      </c>
      <c r="Q117" s="53" t="s">
        <v>460</v>
      </c>
      <c r="R117" s="2" t="s">
        <v>240</v>
      </c>
    </row>
    <row r="118" customFormat="false" ht="15" hidden="false" customHeight="false" outlineLevel="0" collapsed="false">
      <c r="A118" s="2" t="s">
        <v>461</v>
      </c>
      <c r="B118" s="37" t="s">
        <v>82</v>
      </c>
      <c r="C118" s="37" t="s">
        <v>170</v>
      </c>
      <c r="D118" s="37" t="s">
        <v>237</v>
      </c>
      <c r="E118" s="37" t="s">
        <v>170</v>
      </c>
      <c r="F118" s="45" t="n">
        <f aca="false">IFERROR(INDEX('1099 Oct 30'!$H$5:$H$45,MATCH(B118,'1099 Oct 30'!$A$5:$A$45,0)),0)</f>
        <v>0.75</v>
      </c>
      <c r="G118" s="44" t="n">
        <v>0</v>
      </c>
      <c r="H118" s="50" t="n">
        <f aca="false">F118+G118</f>
        <v>0.75</v>
      </c>
      <c r="I118" s="2" t="n">
        <f aca="false">ROUND(H118*60,0)</f>
        <v>45</v>
      </c>
      <c r="J118" s="2" t="n">
        <f aca="false">ROUND(F118*60,0)</f>
        <v>45</v>
      </c>
      <c r="K118" s="2" t="n">
        <f aca="false">ROUND(G118*60,0)</f>
        <v>0</v>
      </c>
      <c r="L118" s="38" t="s">
        <v>109</v>
      </c>
      <c r="M118" s="51" t="n">
        <f aca="false">F118*IF(L118="CFO",Assumptions!$B$5,Assumptions!$B$4)+G118*Assumptions!$B$5</f>
        <v>71.25</v>
      </c>
      <c r="N118" s="45" t="n">
        <f aca="false">F118*INDEX(Assumptions!$B$8:$B$14,MATCH(E118,Assumptions!$A$8:$A$14,0))</f>
        <v>0.25</v>
      </c>
      <c r="O118" s="45" t="n">
        <f aca="false">G118*INDEX(Assumptions!$B$8:$B$14,MATCH(E118,Assumptions!$A$8:$A$14,0))</f>
        <v>0</v>
      </c>
      <c r="P118" s="22" t="s">
        <v>276</v>
      </c>
      <c r="Q118" s="53" t="s">
        <v>462</v>
      </c>
      <c r="R118" s="2" t="s">
        <v>240</v>
      </c>
    </row>
    <row r="119" customFormat="false" ht="15" hidden="false" customHeight="false" outlineLevel="0" collapsed="false">
      <c r="A119" s="2" t="s">
        <v>463</v>
      </c>
      <c r="B119" s="37" t="s">
        <v>82</v>
      </c>
      <c r="C119" s="37" t="s">
        <v>248</v>
      </c>
      <c r="D119" s="37" t="s">
        <v>77</v>
      </c>
      <c r="E119" s="37" t="s">
        <v>56</v>
      </c>
      <c r="F119" s="44" t="n">
        <v>4.25</v>
      </c>
      <c r="G119" s="44" t="n">
        <v>0.25</v>
      </c>
      <c r="H119" s="50" t="n">
        <f aca="false">F119+G119</f>
        <v>4.5</v>
      </c>
      <c r="I119" s="2" t="n">
        <f aca="false">ROUND(H119*60,0)</f>
        <v>270</v>
      </c>
      <c r="J119" s="2" t="n">
        <f aca="false">ROUND(F119*60,0)</f>
        <v>255</v>
      </c>
      <c r="K119" s="2" t="n">
        <f aca="false">ROUND(G119*60,0)</f>
        <v>15</v>
      </c>
      <c r="L119" s="38" t="s">
        <v>109</v>
      </c>
      <c r="M119" s="51" t="n">
        <f aca="false">F119*IF(L119="CFO",Assumptions!$B$5,Assumptions!$B$4)+G119*Assumptions!$B$5</f>
        <v>466.25</v>
      </c>
      <c r="N119" s="45" t="n">
        <f aca="false">F119*INDEX(Assumptions!$B$8:$B$14,MATCH(E119,Assumptions!$A$8:$A$14,0))</f>
        <v>9.20833333333333</v>
      </c>
      <c r="O119" s="45" t="n">
        <f aca="false">G119*INDEX(Assumptions!$B$8:$B$14,MATCH(E119,Assumptions!$A$8:$A$14,0))</f>
        <v>0.541666666666667</v>
      </c>
      <c r="P119" s="22" t="s">
        <v>276</v>
      </c>
      <c r="Q119" s="53" t="s">
        <v>464</v>
      </c>
      <c r="R119" s="2" t="s">
        <v>240</v>
      </c>
    </row>
    <row r="120" customFormat="false" ht="15" hidden="false" customHeight="false" outlineLevel="0" collapsed="false">
      <c r="A120" s="2" t="s">
        <v>465</v>
      </c>
      <c r="B120" s="37" t="s">
        <v>82</v>
      </c>
      <c r="C120" s="37" t="s">
        <v>242</v>
      </c>
      <c r="D120" s="37" t="s">
        <v>14</v>
      </c>
      <c r="E120" s="37" t="s">
        <v>15</v>
      </c>
      <c r="F120" s="44" t="n">
        <v>5.5</v>
      </c>
      <c r="G120" s="44" t="n">
        <v>0.6</v>
      </c>
      <c r="H120" s="50" t="n">
        <f aca="false">F120+G120</f>
        <v>6.1</v>
      </c>
      <c r="I120" s="2" t="n">
        <f aca="false">ROUND(H120*60,0)</f>
        <v>366</v>
      </c>
      <c r="J120" s="2" t="n">
        <f aca="false">ROUND(F120*60,0)</f>
        <v>330</v>
      </c>
      <c r="K120" s="2" t="n">
        <f aca="false">ROUND(G120*60,0)</f>
        <v>36</v>
      </c>
      <c r="L120" s="38" t="s">
        <v>109</v>
      </c>
      <c r="M120" s="51" t="n">
        <f aca="false">F120*IF(L120="CFO",Assumptions!$B$5,Assumptions!$B$4)+G120*Assumptions!$B$5</f>
        <v>672.5</v>
      </c>
      <c r="N120" s="45" t="n">
        <f aca="false">F120*INDEX(Assumptions!$B$8:$B$14,MATCH(E120,Assumptions!$A$8:$A$14,0))</f>
        <v>5.5</v>
      </c>
      <c r="O120" s="45" t="n">
        <f aca="false">G120*INDEX(Assumptions!$B$8:$B$14,MATCH(E120,Assumptions!$A$8:$A$14,0))</f>
        <v>0.6</v>
      </c>
      <c r="P120" s="22" t="s">
        <v>276</v>
      </c>
      <c r="Q120" s="53" t="s">
        <v>466</v>
      </c>
      <c r="R120" s="2" t="s">
        <v>240</v>
      </c>
    </row>
    <row r="121" customFormat="false" ht="15" hidden="false" customHeight="false" outlineLevel="0" collapsed="false">
      <c r="A121" s="2" t="s">
        <v>467</v>
      </c>
      <c r="B121" s="37" t="s">
        <v>82</v>
      </c>
      <c r="C121" s="37" t="s">
        <v>251</v>
      </c>
      <c r="D121" s="37" t="s">
        <v>49</v>
      </c>
      <c r="E121" s="37" t="s">
        <v>15</v>
      </c>
      <c r="F121" s="44" t="n">
        <v>4.4167</v>
      </c>
      <c r="G121" s="44" t="n">
        <v>0</v>
      </c>
      <c r="H121" s="50" t="n">
        <f aca="false">F121+G121</f>
        <v>4.4167</v>
      </c>
      <c r="I121" s="2" t="n">
        <f aca="false">ROUND(H121*60,0)</f>
        <v>265</v>
      </c>
      <c r="J121" s="2" t="n">
        <f aca="false">ROUND(F121*60,0)</f>
        <v>265</v>
      </c>
      <c r="K121" s="2" t="n">
        <f aca="false">ROUND(G121*60,0)</f>
        <v>0</v>
      </c>
      <c r="L121" s="38" t="s">
        <v>109</v>
      </c>
      <c r="M121" s="51" t="n">
        <f aca="false">F121*IF(L121="CFO",Assumptions!$B$5,Assumptions!$B$4)+G121*Assumptions!$B$5</f>
        <v>419.5865</v>
      </c>
      <c r="N121" s="45" t="n">
        <f aca="false">F121*INDEX(Assumptions!$B$8:$B$14,MATCH(E121,Assumptions!$A$8:$A$14,0))</f>
        <v>4.4167</v>
      </c>
      <c r="O121" s="45" t="n">
        <f aca="false">G121*INDEX(Assumptions!$B$8:$B$14,MATCH(E121,Assumptions!$A$8:$A$14,0))</f>
        <v>0</v>
      </c>
      <c r="P121" s="22" t="s">
        <v>276</v>
      </c>
      <c r="Q121" s="53" t="s">
        <v>468</v>
      </c>
      <c r="R121" s="2" t="s">
        <v>240</v>
      </c>
    </row>
    <row r="122" customFormat="false" ht="15" hidden="false" customHeight="false" outlineLevel="0" collapsed="false">
      <c r="A122" s="2" t="s">
        <v>469</v>
      </c>
      <c r="B122" s="37" t="s">
        <v>82</v>
      </c>
      <c r="C122" s="37" t="s">
        <v>248</v>
      </c>
      <c r="D122" s="37" t="s">
        <v>79</v>
      </c>
      <c r="E122" s="37" t="s">
        <v>30</v>
      </c>
      <c r="F122" s="44" t="n">
        <v>1.0833</v>
      </c>
      <c r="G122" s="44" t="n">
        <v>0.25</v>
      </c>
      <c r="H122" s="50" t="n">
        <f aca="false">F122+G122</f>
        <v>1.3333</v>
      </c>
      <c r="I122" s="2" t="n">
        <f aca="false">ROUND(H122*60,0)</f>
        <v>80</v>
      </c>
      <c r="J122" s="2" t="n">
        <f aca="false">ROUND(F122*60,0)</f>
        <v>65</v>
      </c>
      <c r="K122" s="2" t="n">
        <f aca="false">ROUND(G122*60,0)</f>
        <v>15</v>
      </c>
      <c r="L122" s="38" t="s">
        <v>109</v>
      </c>
      <c r="M122" s="51" t="n">
        <f aca="false">F122*IF(L122="CFO",Assumptions!$B$5,Assumptions!$B$4)+G122*Assumptions!$B$5</f>
        <v>165.4135</v>
      </c>
      <c r="N122" s="45" t="n">
        <f aca="false">F122*INDEX(Assumptions!$B$8:$B$14,MATCH(E122,Assumptions!$A$8:$A$14,0))</f>
        <v>4.6943</v>
      </c>
      <c r="O122" s="45" t="n">
        <f aca="false">G122*INDEX(Assumptions!$B$8:$B$14,MATCH(E122,Assumptions!$A$8:$A$14,0))</f>
        <v>1.08333333333333</v>
      </c>
      <c r="P122" s="22" t="s">
        <v>276</v>
      </c>
      <c r="Q122" s="53" t="s">
        <v>470</v>
      </c>
      <c r="R122" s="2" t="s">
        <v>240</v>
      </c>
    </row>
    <row r="123" customFormat="false" ht="15" hidden="false" customHeight="false" outlineLevel="0" collapsed="false">
      <c r="A123" s="2" t="s">
        <v>471</v>
      </c>
      <c r="B123" s="37" t="s">
        <v>82</v>
      </c>
      <c r="C123" s="37" t="s">
        <v>248</v>
      </c>
      <c r="D123" s="37" t="s">
        <v>80</v>
      </c>
      <c r="E123" s="37" t="s">
        <v>30</v>
      </c>
      <c r="F123" s="44" t="n">
        <v>0.1667</v>
      </c>
      <c r="G123" s="44" t="n">
        <v>0</v>
      </c>
      <c r="H123" s="50" t="n">
        <f aca="false">F123+G123</f>
        <v>0.1667</v>
      </c>
      <c r="I123" s="2" t="n">
        <f aca="false">ROUND(H123*60,0)</f>
        <v>10</v>
      </c>
      <c r="J123" s="2" t="n">
        <f aca="false">ROUND(F123*60,0)</f>
        <v>10</v>
      </c>
      <c r="K123" s="2" t="n">
        <f aca="false">ROUND(G123*60,0)</f>
        <v>0</v>
      </c>
      <c r="L123" s="38" t="s">
        <v>194</v>
      </c>
      <c r="M123" s="51" t="n">
        <f aca="false">F123*IF(L123="CFO",Assumptions!$B$5,Assumptions!$B$4)+G123*Assumptions!$B$5</f>
        <v>41.675</v>
      </c>
      <c r="N123" s="45" t="n">
        <f aca="false">F123*INDEX(Assumptions!$B$8:$B$14,MATCH(E123,Assumptions!$A$8:$A$14,0))</f>
        <v>0.722366666666667</v>
      </c>
      <c r="O123" s="45" t="n">
        <f aca="false">G123*INDEX(Assumptions!$B$8:$B$14,MATCH(E123,Assumptions!$A$8:$A$14,0))</f>
        <v>0</v>
      </c>
      <c r="P123" s="22" t="s">
        <v>276</v>
      </c>
      <c r="Q123" s="53" t="s">
        <v>472</v>
      </c>
      <c r="R123" s="2" t="s">
        <v>240</v>
      </c>
    </row>
    <row r="124" customFormat="false" ht="15" hidden="false" customHeight="false" outlineLevel="0" collapsed="false">
      <c r="A124" s="2" t="s">
        <v>473</v>
      </c>
      <c r="B124" s="37" t="s">
        <v>83</v>
      </c>
      <c r="C124" s="37" t="s">
        <v>170</v>
      </c>
      <c r="D124" s="37" t="s">
        <v>237</v>
      </c>
      <c r="E124" s="37" t="s">
        <v>170</v>
      </c>
      <c r="F124" s="45" t="n">
        <f aca="false">IFERROR(INDEX('1099 Oct 30'!$H$5:$H$45,MATCH(B124,'1099 Oct 30'!$A$5:$A$45,0)),0)</f>
        <v>0.75</v>
      </c>
      <c r="G124" s="44" t="n">
        <v>0</v>
      </c>
      <c r="H124" s="50" t="n">
        <f aca="false">F124+G124</f>
        <v>0.75</v>
      </c>
      <c r="I124" s="2" t="n">
        <f aca="false">ROUND(H124*60,0)</f>
        <v>45</v>
      </c>
      <c r="J124" s="2" t="n">
        <f aca="false">ROUND(F124*60,0)</f>
        <v>45</v>
      </c>
      <c r="K124" s="2" t="n">
        <f aca="false">ROUND(G124*60,0)</f>
        <v>0</v>
      </c>
      <c r="L124" s="38" t="s">
        <v>109</v>
      </c>
      <c r="M124" s="51" t="n">
        <f aca="false">F124*IF(L124="CFO",Assumptions!$B$5,Assumptions!$B$4)+G124*Assumptions!$B$5</f>
        <v>71.25</v>
      </c>
      <c r="N124" s="45" t="n">
        <f aca="false">F124*INDEX(Assumptions!$B$8:$B$14,MATCH(E124,Assumptions!$A$8:$A$14,0))</f>
        <v>0.25</v>
      </c>
      <c r="O124" s="45" t="n">
        <f aca="false">G124*INDEX(Assumptions!$B$8:$B$14,MATCH(E124,Assumptions!$A$8:$A$14,0))</f>
        <v>0</v>
      </c>
      <c r="P124" s="52" t="s">
        <v>238</v>
      </c>
      <c r="Q124" s="53" t="s">
        <v>266</v>
      </c>
      <c r="R124" s="2" t="s">
        <v>246</v>
      </c>
    </row>
    <row r="125" customFormat="false" ht="15" hidden="false" customHeight="false" outlineLevel="0" collapsed="false">
      <c r="A125" s="2" t="s">
        <v>474</v>
      </c>
      <c r="B125" s="37" t="s">
        <v>83</v>
      </c>
      <c r="C125" s="37" t="s">
        <v>248</v>
      </c>
      <c r="D125" s="37" t="s">
        <v>17</v>
      </c>
      <c r="E125" s="37" t="s">
        <v>13</v>
      </c>
      <c r="F125" s="44" t="n">
        <v>7.5833</v>
      </c>
      <c r="G125" s="44" t="n">
        <v>1</v>
      </c>
      <c r="H125" s="50" t="n">
        <f aca="false">F125+G125</f>
        <v>8.5833</v>
      </c>
      <c r="I125" s="2" t="n">
        <f aca="false">ROUND(H125*60,0)</f>
        <v>515</v>
      </c>
      <c r="J125" s="2" t="n">
        <f aca="false">ROUND(F125*60,0)</f>
        <v>455</v>
      </c>
      <c r="K125" s="2" t="n">
        <f aca="false">ROUND(G125*60,0)</f>
        <v>60</v>
      </c>
      <c r="L125" s="38" t="s">
        <v>109</v>
      </c>
      <c r="M125" s="51" t="n">
        <f aca="false">F125*IF(L125="CFO",Assumptions!$B$5,Assumptions!$B$4)+G125*Assumptions!$B$5</f>
        <v>970.4135</v>
      </c>
      <c r="N125" s="45" t="n">
        <f aca="false">F125*INDEX(Assumptions!$B$8:$B$14,MATCH(E125,Assumptions!$A$8:$A$14,0))</f>
        <v>2.52776666666667</v>
      </c>
      <c r="O125" s="45" t="n">
        <f aca="false">G125*INDEX(Assumptions!$B$8:$B$14,MATCH(E125,Assumptions!$A$8:$A$14,0))</f>
        <v>0.333333333333333</v>
      </c>
      <c r="P125" s="56" t="s">
        <v>325</v>
      </c>
      <c r="Q125" s="53" t="s">
        <v>475</v>
      </c>
      <c r="R125" s="2" t="s">
        <v>246</v>
      </c>
    </row>
  </sheetData>
  <autoFilter ref="B1:R125"/>
  <dataValidations count="1">
    <dataValidation allowBlank="false" errorStyle="stop" operator="between" showDropDown="false" showErrorMessage="false" showInputMessage="false" sqref="L2:L125" type="list">
      <formula1>"Staff,CFO"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52"/>
    <col collapsed="false" customWidth="true" hidden="false" outlineLevel="0" max="3" min="3" style="0" width="18"/>
    <col collapsed="false" customWidth="true" hidden="false" outlineLevel="0" max="4" min="4" style="0" width="11"/>
    <col collapsed="false" customWidth="true" hidden="false" outlineLevel="0" max="5" min="5" style="0" width="18"/>
    <col collapsed="false" customWidth="true" hidden="false" outlineLevel="0" max="6" min="6" style="0" width="22"/>
    <col collapsed="false" customWidth="true" hidden="false" outlineLevel="0" max="7" min="7" style="0" width="11"/>
    <col collapsed="false" customWidth="true" hidden="false" outlineLevel="0" max="8" min="8" style="0" width="17"/>
    <col collapsed="false" customWidth="true" hidden="false" outlineLevel="0" max="9" min="9" style="0" width="10"/>
    <col collapsed="false" customWidth="true" hidden="false" outlineLevel="0" max="10" min="10" style="0" width="11"/>
    <col collapsed="false" customWidth="true" hidden="false" outlineLevel="0" max="11" min="11" style="0" width="10"/>
    <col collapsed="false" customWidth="true" hidden="false" outlineLevel="0" max="13" min="12" style="0" width="11"/>
    <col collapsed="false" customWidth="true" hidden="false" outlineLevel="0" max="14" min="14" style="0" width="16"/>
    <col collapsed="false" customWidth="true" hidden="false" outlineLevel="0" max="15" min="15" style="0" width="90"/>
    <col collapsed="false" customWidth="true" hidden="true" outlineLevel="0" max="16" min="16" style="0" width="10"/>
  </cols>
  <sheetData>
    <row r="1" customFormat="false" ht="31.5" hidden="false" customHeight="true" outlineLevel="0" collapsed="false">
      <c r="A1" s="5" t="s">
        <v>3</v>
      </c>
      <c r="B1" s="5" t="s">
        <v>476</v>
      </c>
      <c r="C1" s="5" t="s">
        <v>221</v>
      </c>
      <c r="D1" s="5" t="s">
        <v>477</v>
      </c>
      <c r="E1" s="5" t="s">
        <v>478</v>
      </c>
      <c r="F1" s="5" t="s">
        <v>479</v>
      </c>
      <c r="G1" s="5" t="s">
        <v>5</v>
      </c>
      <c r="H1" s="5" t="s">
        <v>480</v>
      </c>
      <c r="I1" s="5" t="s">
        <v>481</v>
      </c>
      <c r="J1" s="5" t="s">
        <v>482</v>
      </c>
      <c r="K1" s="5" t="s">
        <v>483</v>
      </c>
      <c r="L1" s="5" t="s">
        <v>226</v>
      </c>
      <c r="M1" s="5" t="s">
        <v>230</v>
      </c>
      <c r="N1" s="5" t="s">
        <v>233</v>
      </c>
      <c r="O1" s="5" t="s">
        <v>208</v>
      </c>
      <c r="P1" s="5" t="s">
        <v>220</v>
      </c>
    </row>
    <row r="2" customFormat="false" ht="15" hidden="false" customHeight="false" outlineLevel="0" collapsed="false">
      <c r="A2" s="2" t="s">
        <v>11</v>
      </c>
      <c r="B2" s="2" t="s">
        <v>484</v>
      </c>
      <c r="C2" s="2" t="s">
        <v>242</v>
      </c>
      <c r="D2" s="59" t="n">
        <v>46295</v>
      </c>
      <c r="E2" s="2" t="s">
        <v>485</v>
      </c>
      <c r="F2" s="2" t="s">
        <v>486</v>
      </c>
      <c r="G2" s="2" t="s">
        <v>15</v>
      </c>
      <c r="H2" s="2" t="s">
        <v>487</v>
      </c>
      <c r="I2" s="45" t="n">
        <f aca="false">INDEX('Recurring Budgets'!$F$2:$F$125,MATCH(P2,'Recurring Budgets'!$A$2:$A$125,0))</f>
        <v>0.5</v>
      </c>
      <c r="J2" s="45" t="n">
        <f aca="false">INDEX('Recurring Budgets'!$G$2:$G$125,MATCH(P2,'Recurring Budgets'!$A$2:$A$125,0))</f>
        <v>0.7</v>
      </c>
      <c r="K2" s="50" t="n">
        <f aca="false">I2+J2</f>
        <v>1.2</v>
      </c>
      <c r="L2" s="2" t="n">
        <f aca="false">ROUND(K2*60,0)</f>
        <v>72</v>
      </c>
      <c r="M2" s="51" t="n">
        <f aca="false">INDEX('Recurring Budgets'!$M$2:$M$125,MATCH(P2,'Recurring Budgets'!$A$2:$A$125,0))</f>
        <v>222.5</v>
      </c>
      <c r="N2" s="39" t="str">
        <f aca="false">INDEX('Recurring Budgets'!$P$2:$P$125,MATCH(P2,'Recurring Budgets'!$A$2:$A$125,0))</f>
        <v>High</v>
      </c>
      <c r="O2" s="39" t="str">
        <f aca="false">INDEX('Recurring Budgets'!$Q$2:$Q$125,MATCH(P2,'Recurring Budgets'!$A$2:$A$125,0))</f>
        <v>Includes Month-end 0.7. Review = median of 7 closes reviewed in Harvest (0.70h).</v>
      </c>
      <c r="P2" s="2" t="s">
        <v>241</v>
      </c>
    </row>
    <row r="3" customFormat="false" ht="15" hidden="false" customHeight="false" outlineLevel="0" collapsed="false">
      <c r="A3" s="2" t="s">
        <v>11</v>
      </c>
      <c r="B3" s="2" t="s">
        <v>237</v>
      </c>
      <c r="C3" s="2" t="s">
        <v>170</v>
      </c>
      <c r="D3" s="59" t="n">
        <v>46325</v>
      </c>
      <c r="E3" s="2" t="s">
        <v>488</v>
      </c>
      <c r="F3" s="2" t="s">
        <v>489</v>
      </c>
      <c r="G3" s="2" t="s">
        <v>170</v>
      </c>
      <c r="H3" s="2" t="s">
        <v>490</v>
      </c>
      <c r="I3" s="45" t="n">
        <f aca="false">INDEX('1099 Oct 30'!$F$5:$F$45,MATCH(P3,'1099 Oct 30'!$A$5:$A$45,0))</f>
        <v>2.5</v>
      </c>
      <c r="J3" s="44" t="n">
        <v>0</v>
      </c>
      <c r="K3" s="50" t="n">
        <f aca="false">I3+J3</f>
        <v>2.5</v>
      </c>
      <c r="L3" s="2" t="n">
        <f aca="false">ROUND(K3*60,0)</f>
        <v>150</v>
      </c>
      <c r="M3" s="51" t="n">
        <f aca="false">I3*Assumptions!$B$4</f>
        <v>237.5</v>
      </c>
      <c r="N3" s="52" t="s">
        <v>238</v>
      </c>
      <c r="O3" s="2" t="s">
        <v>491</v>
      </c>
      <c r="P3" s="2" t="s">
        <v>11</v>
      </c>
    </row>
    <row r="4" customFormat="false" ht="15" hidden="false" customHeight="false" outlineLevel="0" collapsed="false">
      <c r="A4" s="2" t="s">
        <v>11</v>
      </c>
      <c r="B4" s="2" t="s">
        <v>492</v>
      </c>
      <c r="C4" s="2" t="s">
        <v>242</v>
      </c>
      <c r="D4" s="59" t="n">
        <v>46325</v>
      </c>
      <c r="E4" s="2" t="s">
        <v>493</v>
      </c>
      <c r="F4" s="2" t="s">
        <v>489</v>
      </c>
      <c r="G4" s="2" t="s">
        <v>15</v>
      </c>
      <c r="H4" s="2" t="s">
        <v>487</v>
      </c>
      <c r="I4" s="45" t="n">
        <f aca="false">INDEX('Recurring Budgets'!$F$2:$F$125,MATCH(P4,'Recurring Budgets'!$A$2:$A$125,0))</f>
        <v>0.5</v>
      </c>
      <c r="J4" s="45" t="n">
        <f aca="false">INDEX('Recurring Budgets'!$G$2:$G$125,MATCH(P4,'Recurring Budgets'!$A$2:$A$125,0))</f>
        <v>0.7</v>
      </c>
      <c r="K4" s="50" t="n">
        <f aca="false">I4+J4</f>
        <v>1.2</v>
      </c>
      <c r="L4" s="2" t="n">
        <f aca="false">ROUND(K4*60,0)</f>
        <v>72</v>
      </c>
      <c r="M4" s="51" t="n">
        <f aca="false">INDEX('Recurring Budgets'!$M$2:$M$125,MATCH(P4,'Recurring Budgets'!$A$2:$A$125,0))</f>
        <v>222.5</v>
      </c>
      <c r="N4" s="39" t="str">
        <f aca="false">INDEX('Recurring Budgets'!$P$2:$P$125,MATCH(P4,'Recurring Budgets'!$A$2:$A$125,0))</f>
        <v>High</v>
      </c>
      <c r="O4" s="39" t="str">
        <f aca="false">INDEX('Recurring Budgets'!$Q$2:$Q$125,MATCH(P4,'Recurring Budgets'!$A$2:$A$125,0))</f>
        <v>Includes Month-end 0.7. Review = median of 7 closes reviewed in Harvest (0.70h).</v>
      </c>
      <c r="P4" s="2" t="s">
        <v>241</v>
      </c>
    </row>
    <row r="5" customFormat="false" ht="15" hidden="false" customHeight="false" outlineLevel="0" collapsed="false">
      <c r="A5" s="2" t="s">
        <v>16</v>
      </c>
      <c r="B5" s="2" t="s">
        <v>494</v>
      </c>
      <c r="C5" s="2" t="s">
        <v>248</v>
      </c>
      <c r="D5" s="59" t="n">
        <v>46303</v>
      </c>
      <c r="E5" s="2" t="s">
        <v>493</v>
      </c>
      <c r="F5" s="2" t="s">
        <v>495</v>
      </c>
      <c r="G5" s="2" t="s">
        <v>13</v>
      </c>
      <c r="H5" s="2" t="s">
        <v>487</v>
      </c>
      <c r="I5" s="45" t="n">
        <f aca="false">INDEX('Recurring Budgets'!$F$2:$F$125,MATCH(P5,'Recurring Budgets'!$A$2:$A$125,0))</f>
        <v>0.5</v>
      </c>
      <c r="J5" s="45" t="n">
        <f aca="false">INDEX('Recurring Budgets'!$G$2:$G$125,MATCH(P5,'Recurring Budgets'!$A$2:$A$125,0))</f>
        <v>1.25</v>
      </c>
      <c r="K5" s="50" t="n">
        <f aca="false">I5+J5</f>
        <v>1.75</v>
      </c>
      <c r="L5" s="2" t="n">
        <f aca="false">ROUND(K5*60,0)</f>
        <v>105</v>
      </c>
      <c r="M5" s="51" t="n">
        <f aca="false">INDEX('Recurring Budgets'!$M$2:$M$125,MATCH(P5,'Recurring Budgets'!$A$2:$A$125,0))</f>
        <v>360</v>
      </c>
      <c r="N5" s="39" t="str">
        <f aca="false">INDEX('Recurring Budgets'!$P$2:$P$125,MATCH(P5,'Recurring Budgets'!$A$2:$A$125,0))</f>
        <v>High</v>
      </c>
      <c r="O5" s="39" t="str">
        <f aca="false">INDEX('Recurring Budgets'!$Q$2:$Q$125,MATCH(P5,'Recurring Budgets'!$A$2:$A$125,0))</f>
        <v>Includes Month-end 0.5. Review = 1.25h as logged (only 2 reviewed close(s) in Harvest – check).</v>
      </c>
      <c r="P5" s="2" t="s">
        <v>247</v>
      </c>
    </row>
    <row r="6" customFormat="false" ht="15" hidden="false" customHeight="false" outlineLevel="0" collapsed="false">
      <c r="A6" s="2" t="s">
        <v>16</v>
      </c>
      <c r="B6" s="2" t="s">
        <v>496</v>
      </c>
      <c r="C6" s="2" t="s">
        <v>251</v>
      </c>
      <c r="D6" s="59" t="n">
        <v>46314</v>
      </c>
      <c r="E6" s="2" t="s">
        <v>493</v>
      </c>
      <c r="F6" s="2" t="s">
        <v>489</v>
      </c>
      <c r="G6" s="2" t="s">
        <v>13</v>
      </c>
      <c r="H6" s="2" t="s">
        <v>487</v>
      </c>
      <c r="I6" s="45" t="n">
        <f aca="false">INDEX('Recurring Budgets'!$F$2:$F$125,MATCH(P6,'Recurring Budgets'!$A$2:$A$125,0))</f>
        <v>0.5</v>
      </c>
      <c r="J6" s="45" t="n">
        <f aca="false">INDEX('Recurring Budgets'!$G$2:$G$125,MATCH(P6,'Recurring Budgets'!$A$2:$A$125,0))</f>
        <v>0</v>
      </c>
      <c r="K6" s="50" t="n">
        <f aca="false">I6+J6</f>
        <v>0.5</v>
      </c>
      <c r="L6" s="2" t="n">
        <f aca="false">ROUND(K6*60,0)</f>
        <v>30</v>
      </c>
      <c r="M6" s="51" t="n">
        <f aca="false">INDEX('Recurring Budgets'!$M$2:$M$125,MATCH(P6,'Recurring Budgets'!$A$2:$A$125,0))</f>
        <v>47.5</v>
      </c>
      <c r="N6" s="39" t="str">
        <f aca="false">INDEX('Recurring Budgets'!$P$2:$P$125,MATCH(P6,'Recurring Budgets'!$A$2:$A$125,0))</f>
        <v>Estimate</v>
      </c>
      <c r="O6" s="39" t="str">
        <f aca="false">INDEX('Recurring Budgets'!$Q$2:$Q$125,MATCH(P6,'Recurring Budgets'!$A$2:$A$125,0))</f>
        <v>Sales tax time × 3 (quarterly filing). Little logged time – minimum applied.</v>
      </c>
      <c r="P6" s="2" t="s">
        <v>250</v>
      </c>
    </row>
    <row r="7" customFormat="false" ht="15" hidden="false" customHeight="false" outlineLevel="0" collapsed="false">
      <c r="A7" s="2" t="s">
        <v>16</v>
      </c>
      <c r="B7" s="2" t="s">
        <v>237</v>
      </c>
      <c r="C7" s="2" t="s">
        <v>170</v>
      </c>
      <c r="D7" s="59" t="n">
        <v>46325</v>
      </c>
      <c r="E7" s="2" t="s">
        <v>488</v>
      </c>
      <c r="F7" s="2" t="s">
        <v>489</v>
      </c>
      <c r="G7" s="2" t="s">
        <v>170</v>
      </c>
      <c r="H7" s="2" t="s">
        <v>490</v>
      </c>
      <c r="I7" s="45" t="n">
        <f aca="false">INDEX('1099 Oct 30'!$F$5:$F$45,MATCH(P7,'1099 Oct 30'!$A$5:$A$45,0))</f>
        <v>2.5</v>
      </c>
      <c r="J7" s="44" t="n">
        <v>0</v>
      </c>
      <c r="K7" s="50" t="n">
        <f aca="false">I7+J7</f>
        <v>2.5</v>
      </c>
      <c r="L7" s="2" t="n">
        <f aca="false">ROUND(K7*60,0)</f>
        <v>150</v>
      </c>
      <c r="M7" s="51" t="n">
        <f aca="false">I7*Assumptions!$B$4</f>
        <v>237.5</v>
      </c>
      <c r="N7" s="52" t="s">
        <v>238</v>
      </c>
      <c r="O7" s="2" t="s">
        <v>491</v>
      </c>
      <c r="P7" s="2" t="s">
        <v>16</v>
      </c>
    </row>
    <row r="8" customFormat="false" ht="15" hidden="false" customHeight="false" outlineLevel="0" collapsed="false">
      <c r="A8" s="2" t="s">
        <v>19</v>
      </c>
      <c r="B8" s="2" t="s">
        <v>497</v>
      </c>
      <c r="C8" s="2" t="s">
        <v>254</v>
      </c>
      <c r="D8" s="59" t="n">
        <v>46265</v>
      </c>
      <c r="E8" s="2" t="s">
        <v>498</v>
      </c>
      <c r="F8" s="2" t="s">
        <v>495</v>
      </c>
      <c r="G8" s="2" t="s">
        <v>21</v>
      </c>
      <c r="H8" s="2" t="s">
        <v>487</v>
      </c>
      <c r="I8" s="45" t="n">
        <f aca="false">INDEX('Recurring Budgets'!$F$2:$F$125,MATCH(P8,'Recurring Budgets'!$A$2:$A$125,0))</f>
        <v>1</v>
      </c>
      <c r="J8" s="45" t="n">
        <f aca="false">INDEX('Recurring Budgets'!$G$2:$G$125,MATCH(P8,'Recurring Budgets'!$A$2:$A$125,0))</f>
        <v>0</v>
      </c>
      <c r="K8" s="50" t="n">
        <f aca="false">I8+J8</f>
        <v>1</v>
      </c>
      <c r="L8" s="2" t="n">
        <f aca="false">ROUND(K8*60,0)</f>
        <v>60</v>
      </c>
      <c r="M8" s="51" t="n">
        <f aca="false">INDEX('Recurring Budgets'!$M$2:$M$125,MATCH(P8,'Recurring Budgets'!$A$2:$A$125,0))</f>
        <v>95</v>
      </c>
      <c r="N8" s="39" t="str">
        <f aca="false">INDEX('Recurring Budgets'!$P$2:$P$125,MATCH(P8,'Recurring Budgets'!$A$2:$A$125,0))</f>
        <v>Estimate</v>
      </c>
      <c r="O8" s="39" t="str">
        <f aca="false">INDEX('Recurring Budgets'!$Q$2:$Q$125,MATCH(P8,'Recurring Budgets'!$A$2:$A$125,0))</f>
        <v>No year-end hours logged in the last 12 months – placeholder 1.0h.</v>
      </c>
      <c r="P8" s="2" t="s">
        <v>253</v>
      </c>
    </row>
    <row r="9" customFormat="false" ht="15" hidden="false" customHeight="false" outlineLevel="0" collapsed="false">
      <c r="A9" s="2" t="s">
        <v>22</v>
      </c>
      <c r="B9" s="2" t="s">
        <v>484</v>
      </c>
      <c r="C9" s="2" t="s">
        <v>242</v>
      </c>
      <c r="D9" s="59" t="n">
        <v>46295</v>
      </c>
      <c r="E9" s="2" t="s">
        <v>485</v>
      </c>
      <c r="F9" s="2" t="s">
        <v>486</v>
      </c>
      <c r="G9" s="2" t="s">
        <v>15</v>
      </c>
      <c r="H9" s="2" t="s">
        <v>487</v>
      </c>
      <c r="I9" s="45" t="n">
        <f aca="false">INDEX('Recurring Budgets'!$F$2:$F$125,MATCH(P9,'Recurring Budgets'!$A$2:$A$125,0))</f>
        <v>2.25</v>
      </c>
      <c r="J9" s="45" t="n">
        <f aca="false">INDEX('Recurring Budgets'!$G$2:$G$125,MATCH(P9,'Recurring Budgets'!$A$2:$A$125,0))</f>
        <v>0.7</v>
      </c>
      <c r="K9" s="50" t="n">
        <f aca="false">I9+J9</f>
        <v>2.95</v>
      </c>
      <c r="L9" s="2" t="n">
        <f aca="false">ROUND(K9*60,0)</f>
        <v>177</v>
      </c>
      <c r="M9" s="51" t="n">
        <f aca="false">INDEX('Recurring Budgets'!$M$2:$M$125,MATCH(P9,'Recurring Budgets'!$A$2:$A$125,0))</f>
        <v>388.75</v>
      </c>
      <c r="N9" s="39" t="str">
        <f aca="false">INDEX('Recurring Budgets'!$P$2:$P$125,MATCH(P9,'Recurring Budgets'!$A$2:$A$125,0))</f>
        <v>High</v>
      </c>
      <c r="O9" s="39" t="str">
        <f aca="false">INDEX('Recurring Budgets'!$Q$2:$Q$125,MATCH(P9,'Recurring Budgets'!$A$2:$A$125,0))</f>
        <v>Includes Month-end 2.4. Review = median of 7 closes reviewed in Harvest (0.70h).</v>
      </c>
      <c r="P9" s="2" t="s">
        <v>259</v>
      </c>
    </row>
    <row r="10" customFormat="false" ht="15" hidden="false" customHeight="false" outlineLevel="0" collapsed="false">
      <c r="A10" s="2" t="s">
        <v>22</v>
      </c>
      <c r="B10" s="2" t="s">
        <v>237</v>
      </c>
      <c r="C10" s="2" t="s">
        <v>170</v>
      </c>
      <c r="D10" s="59" t="n">
        <v>46325</v>
      </c>
      <c r="E10" s="2" t="s">
        <v>488</v>
      </c>
      <c r="F10" s="2" t="s">
        <v>489</v>
      </c>
      <c r="G10" s="2" t="s">
        <v>170</v>
      </c>
      <c r="H10" s="2" t="s">
        <v>490</v>
      </c>
      <c r="I10" s="45" t="n">
        <f aca="false">INDEX('1099 Oct 30'!$F$5:$F$45,MATCH(P10,'1099 Oct 30'!$A$5:$A$45,0))</f>
        <v>2.5</v>
      </c>
      <c r="J10" s="44" t="n">
        <v>0</v>
      </c>
      <c r="K10" s="50" t="n">
        <f aca="false">I10+J10</f>
        <v>2.5</v>
      </c>
      <c r="L10" s="2" t="n">
        <f aca="false">ROUND(K10*60,0)</f>
        <v>150</v>
      </c>
      <c r="M10" s="51" t="n">
        <f aca="false">I10*Assumptions!$B$4</f>
        <v>237.5</v>
      </c>
      <c r="N10" s="52" t="s">
        <v>238</v>
      </c>
      <c r="O10" s="2" t="s">
        <v>491</v>
      </c>
      <c r="P10" s="2" t="s">
        <v>22</v>
      </c>
    </row>
    <row r="11" customFormat="false" ht="15" hidden="false" customHeight="false" outlineLevel="0" collapsed="false">
      <c r="A11" s="2" t="s">
        <v>22</v>
      </c>
      <c r="B11" s="2" t="s">
        <v>492</v>
      </c>
      <c r="C11" s="2" t="s">
        <v>242</v>
      </c>
      <c r="D11" s="59" t="n">
        <v>46325</v>
      </c>
      <c r="E11" s="2" t="s">
        <v>493</v>
      </c>
      <c r="F11" s="2" t="s">
        <v>489</v>
      </c>
      <c r="G11" s="2" t="s">
        <v>15</v>
      </c>
      <c r="H11" s="2" t="s">
        <v>487</v>
      </c>
      <c r="I11" s="45" t="n">
        <f aca="false">INDEX('Recurring Budgets'!$F$2:$F$125,MATCH(P11,'Recurring Budgets'!$A$2:$A$125,0))</f>
        <v>2.25</v>
      </c>
      <c r="J11" s="45" t="n">
        <f aca="false">INDEX('Recurring Budgets'!$G$2:$G$125,MATCH(P11,'Recurring Budgets'!$A$2:$A$125,0))</f>
        <v>0.7</v>
      </c>
      <c r="K11" s="50" t="n">
        <f aca="false">I11+J11</f>
        <v>2.95</v>
      </c>
      <c r="L11" s="2" t="n">
        <f aca="false">ROUND(K11*60,0)</f>
        <v>177</v>
      </c>
      <c r="M11" s="51" t="n">
        <f aca="false">INDEX('Recurring Budgets'!$M$2:$M$125,MATCH(P11,'Recurring Budgets'!$A$2:$A$125,0))</f>
        <v>388.75</v>
      </c>
      <c r="N11" s="39" t="str">
        <f aca="false">INDEX('Recurring Budgets'!$P$2:$P$125,MATCH(P11,'Recurring Budgets'!$A$2:$A$125,0))</f>
        <v>High</v>
      </c>
      <c r="O11" s="39" t="str">
        <f aca="false">INDEX('Recurring Budgets'!$Q$2:$Q$125,MATCH(P11,'Recurring Budgets'!$A$2:$A$125,0))</f>
        <v>Includes Month-end 2.4. Review = median of 7 closes reviewed in Harvest (0.70h).</v>
      </c>
      <c r="P11" s="2" t="s">
        <v>259</v>
      </c>
    </row>
    <row r="12" customFormat="false" ht="15" hidden="false" customHeight="false" outlineLevel="0" collapsed="false">
      <c r="A12" s="2" t="s">
        <v>23</v>
      </c>
      <c r="B12" s="2" t="s">
        <v>484</v>
      </c>
      <c r="C12" s="2" t="s">
        <v>242</v>
      </c>
      <c r="D12" s="59" t="n">
        <v>46295</v>
      </c>
      <c r="E12" s="2" t="s">
        <v>493</v>
      </c>
      <c r="F12" s="2" t="s">
        <v>486</v>
      </c>
      <c r="G12" s="2" t="s">
        <v>15</v>
      </c>
      <c r="H12" s="2" t="s">
        <v>487</v>
      </c>
      <c r="I12" s="45" t="n">
        <f aca="false">INDEX('Recurring Budgets'!$F$2:$F$125,MATCH(P12,'Recurring Budgets'!$A$2:$A$125,0))</f>
        <v>0.8333</v>
      </c>
      <c r="J12" s="45" t="n">
        <f aca="false">INDEX('Recurring Budgets'!$G$2:$G$125,MATCH(P12,'Recurring Budgets'!$A$2:$A$125,0))</f>
        <v>0.7</v>
      </c>
      <c r="K12" s="50" t="n">
        <f aca="false">I12+J12</f>
        <v>1.5333</v>
      </c>
      <c r="L12" s="2" t="n">
        <f aca="false">ROUND(K12*60,0)</f>
        <v>92</v>
      </c>
      <c r="M12" s="51" t="n">
        <f aca="false">INDEX('Recurring Budgets'!$M$2:$M$125,MATCH(P12,'Recurring Budgets'!$A$2:$A$125,0))</f>
        <v>254.1635</v>
      </c>
      <c r="N12" s="39" t="str">
        <f aca="false">INDEX('Recurring Budgets'!$P$2:$P$125,MATCH(P12,'Recurring Budgets'!$A$2:$A$125,0))</f>
        <v>High</v>
      </c>
      <c r="O12" s="39" t="str">
        <f aca="false">INDEX('Recurring Budgets'!$Q$2:$Q$125,MATCH(P12,'Recurring Budgets'!$A$2:$A$125,0))</f>
        <v>Includes Month-end 0.8. Review = median of 7 closes reviewed in Harvest (0.70h).</v>
      </c>
      <c r="P12" s="2" t="s">
        <v>263</v>
      </c>
    </row>
    <row r="13" customFormat="false" ht="15" hidden="false" customHeight="false" outlineLevel="0" collapsed="false">
      <c r="A13" s="2" t="s">
        <v>23</v>
      </c>
      <c r="B13" s="2" t="s">
        <v>237</v>
      </c>
      <c r="C13" s="2" t="s">
        <v>170</v>
      </c>
      <c r="D13" s="59" t="n">
        <v>46325</v>
      </c>
      <c r="E13" s="2" t="s">
        <v>488</v>
      </c>
      <c r="F13" s="2" t="s">
        <v>489</v>
      </c>
      <c r="G13" s="2" t="s">
        <v>170</v>
      </c>
      <c r="H13" s="2" t="s">
        <v>490</v>
      </c>
      <c r="I13" s="45" t="n">
        <f aca="false">INDEX('1099 Oct 30'!$F$5:$F$45,MATCH(P13,'1099 Oct 30'!$A$5:$A$45,0))</f>
        <v>2.5</v>
      </c>
      <c r="J13" s="44" t="n">
        <v>0</v>
      </c>
      <c r="K13" s="50" t="n">
        <f aca="false">I13+J13</f>
        <v>2.5</v>
      </c>
      <c r="L13" s="2" t="n">
        <f aca="false">ROUND(K13*60,0)</f>
        <v>150</v>
      </c>
      <c r="M13" s="51" t="n">
        <f aca="false">I13*Assumptions!$B$4</f>
        <v>237.5</v>
      </c>
      <c r="N13" s="52" t="s">
        <v>238</v>
      </c>
      <c r="O13" s="2" t="s">
        <v>491</v>
      </c>
      <c r="P13" s="2" t="s">
        <v>23</v>
      </c>
    </row>
    <row r="14" customFormat="false" ht="15" hidden="false" customHeight="false" outlineLevel="0" collapsed="false">
      <c r="A14" s="2" t="s">
        <v>24</v>
      </c>
      <c r="B14" s="2" t="s">
        <v>484</v>
      </c>
      <c r="C14" s="2" t="s">
        <v>242</v>
      </c>
      <c r="D14" s="59" t="n">
        <v>46295</v>
      </c>
      <c r="E14" s="2" t="s">
        <v>493</v>
      </c>
      <c r="F14" s="2" t="s">
        <v>486</v>
      </c>
      <c r="G14" s="2" t="s">
        <v>15</v>
      </c>
      <c r="H14" s="2" t="s">
        <v>487</v>
      </c>
      <c r="I14" s="45" t="n">
        <f aca="false">INDEX('Recurring Budgets'!$F$2:$F$125,MATCH(P14,'Recurring Budgets'!$A$2:$A$125,0))</f>
        <v>1.1667</v>
      </c>
      <c r="J14" s="45" t="n">
        <f aca="false">INDEX('Recurring Budgets'!$G$2:$G$125,MATCH(P14,'Recurring Budgets'!$A$2:$A$125,0))</f>
        <v>0.7</v>
      </c>
      <c r="K14" s="50" t="n">
        <f aca="false">I14+J14</f>
        <v>1.8667</v>
      </c>
      <c r="L14" s="2" t="n">
        <f aca="false">ROUND(K14*60,0)</f>
        <v>112</v>
      </c>
      <c r="M14" s="51" t="n">
        <f aca="false">INDEX('Recurring Budgets'!$M$2:$M$125,MATCH(P14,'Recurring Budgets'!$A$2:$A$125,0))</f>
        <v>285.8365</v>
      </c>
      <c r="N14" s="39" t="str">
        <f aca="false">INDEX('Recurring Budgets'!$P$2:$P$125,MATCH(P14,'Recurring Budgets'!$A$2:$A$125,0))</f>
        <v>High</v>
      </c>
      <c r="O14" s="39" t="str">
        <f aca="false">INDEX('Recurring Budgets'!$Q$2:$Q$125,MATCH(P14,'Recurring Budgets'!$A$2:$A$125,0))</f>
        <v>Includes Month-end 1.3. Review = median of 7 closes reviewed in Harvest (0.70h).</v>
      </c>
      <c r="P14" s="2" t="s">
        <v>267</v>
      </c>
    </row>
    <row r="15" customFormat="false" ht="15" hidden="false" customHeight="false" outlineLevel="0" collapsed="false">
      <c r="A15" s="2" t="s">
        <v>24</v>
      </c>
      <c r="B15" s="2" t="s">
        <v>237</v>
      </c>
      <c r="C15" s="2" t="s">
        <v>170</v>
      </c>
      <c r="D15" s="59" t="n">
        <v>46325</v>
      </c>
      <c r="E15" s="2" t="s">
        <v>488</v>
      </c>
      <c r="F15" s="2" t="s">
        <v>489</v>
      </c>
      <c r="G15" s="2" t="s">
        <v>170</v>
      </c>
      <c r="H15" s="2" t="s">
        <v>490</v>
      </c>
      <c r="I15" s="45" t="n">
        <f aca="false">INDEX('1099 Oct 30'!$F$5:$F$45,MATCH(P15,'1099 Oct 30'!$A$5:$A$45,0))</f>
        <v>1.5</v>
      </c>
      <c r="J15" s="44" t="n">
        <v>0</v>
      </c>
      <c r="K15" s="50" t="n">
        <f aca="false">I15+J15</f>
        <v>1.5</v>
      </c>
      <c r="L15" s="2" t="n">
        <f aca="false">ROUND(K15*60,0)</f>
        <v>90</v>
      </c>
      <c r="M15" s="51" t="n">
        <f aca="false">I15*Assumptions!$B$4</f>
        <v>142.5</v>
      </c>
      <c r="N15" s="52" t="s">
        <v>238</v>
      </c>
      <c r="O15" s="2" t="s">
        <v>491</v>
      </c>
      <c r="P15" s="2" t="s">
        <v>24</v>
      </c>
    </row>
    <row r="16" customFormat="false" ht="15" hidden="false" customHeight="false" outlineLevel="0" collapsed="false">
      <c r="A16" s="2" t="s">
        <v>25</v>
      </c>
      <c r="B16" s="2" t="s">
        <v>492</v>
      </c>
      <c r="C16" s="2" t="s">
        <v>242</v>
      </c>
      <c r="D16" s="59" t="n">
        <v>46301</v>
      </c>
      <c r="E16" s="2" t="s">
        <v>499</v>
      </c>
      <c r="F16" s="2" t="s">
        <v>495</v>
      </c>
      <c r="G16" s="2" t="s">
        <v>15</v>
      </c>
      <c r="H16" s="2" t="s">
        <v>487</v>
      </c>
      <c r="I16" s="45" t="n">
        <f aca="false">INDEX('Recurring Budgets'!$F$2:$F$125,MATCH(P16,'Recurring Budgets'!$A$2:$A$125,0))</f>
        <v>0.75</v>
      </c>
      <c r="J16" s="45" t="n">
        <f aca="false">INDEX('Recurring Budgets'!$G$2:$G$125,MATCH(P16,'Recurring Budgets'!$A$2:$A$125,0))</f>
        <v>0.3833</v>
      </c>
      <c r="K16" s="50" t="n">
        <f aca="false">I16+J16</f>
        <v>1.1333</v>
      </c>
      <c r="L16" s="2" t="n">
        <f aca="false">ROUND(K16*60,0)</f>
        <v>68</v>
      </c>
      <c r="M16" s="51" t="n">
        <f aca="false">INDEX('Recurring Budgets'!$M$2:$M$125,MATCH(P16,'Recurring Budgets'!$A$2:$A$125,0))</f>
        <v>167.075</v>
      </c>
      <c r="N16" s="39" t="str">
        <f aca="false">INDEX('Recurring Budgets'!$P$2:$P$125,MATCH(P16,'Recurring Budgets'!$A$2:$A$125,0))</f>
        <v>Medium</v>
      </c>
      <c r="O16" s="39" t="str">
        <f aca="false">INDEX('Recurring Budgets'!$Q$2:$Q$125,MATCH(P16,'Recurring Budgets'!$A$2:$A$125,0))</f>
        <v>Josephine's Apr–May 2026 closes + allowance for a new person (Valentina's hours not used). Review = median of 8 closes reviewed in Harvest (0.38h).</v>
      </c>
      <c r="P16" s="2" t="s">
        <v>272</v>
      </c>
    </row>
    <row r="17" customFormat="false" ht="15" hidden="false" customHeight="false" outlineLevel="0" collapsed="false">
      <c r="A17" s="2" t="s">
        <v>25</v>
      </c>
      <c r="B17" s="2" t="s">
        <v>237</v>
      </c>
      <c r="C17" s="2" t="s">
        <v>170</v>
      </c>
      <c r="D17" s="59" t="n">
        <v>46325</v>
      </c>
      <c r="E17" s="2" t="s">
        <v>488</v>
      </c>
      <c r="F17" s="2" t="s">
        <v>489</v>
      </c>
      <c r="G17" s="2" t="s">
        <v>170</v>
      </c>
      <c r="H17" s="2" t="s">
        <v>490</v>
      </c>
      <c r="I17" s="45" t="n">
        <f aca="false">INDEX('1099 Oct 30'!$F$5:$F$45,MATCH(P17,'1099 Oct 30'!$A$5:$A$45,0))</f>
        <v>0.375</v>
      </c>
      <c r="J17" s="44" t="n">
        <v>0</v>
      </c>
      <c r="K17" s="50" t="n">
        <f aca="false">I17+J17</f>
        <v>0.375</v>
      </c>
      <c r="L17" s="2" t="n">
        <f aca="false">ROUND(K17*60,0)</f>
        <v>23</v>
      </c>
      <c r="M17" s="51" t="n">
        <f aca="false">I17*Assumptions!$B$4</f>
        <v>35.625</v>
      </c>
      <c r="N17" s="52" t="s">
        <v>238</v>
      </c>
      <c r="O17" s="2" t="s">
        <v>491</v>
      </c>
      <c r="P17" s="2" t="s">
        <v>25</v>
      </c>
    </row>
    <row r="18" customFormat="false" ht="15" hidden="false" customHeight="false" outlineLevel="0" collapsed="false">
      <c r="A18" s="2" t="s">
        <v>26</v>
      </c>
      <c r="B18" s="2" t="s">
        <v>492</v>
      </c>
      <c r="C18" s="2" t="s">
        <v>242</v>
      </c>
      <c r="D18" s="59" t="n">
        <v>46301</v>
      </c>
      <c r="E18" s="2" t="s">
        <v>499</v>
      </c>
      <c r="F18" s="2" t="s">
        <v>495</v>
      </c>
      <c r="G18" s="2" t="s">
        <v>15</v>
      </c>
      <c r="H18" s="2" t="s">
        <v>487</v>
      </c>
      <c r="I18" s="45" t="n">
        <f aca="false">INDEX('Recurring Budgets'!$F$2:$F$125,MATCH(P18,'Recurring Budgets'!$A$2:$A$125,0))</f>
        <v>1.25</v>
      </c>
      <c r="J18" s="45" t="n">
        <f aca="false">INDEX('Recurring Budgets'!$G$2:$G$125,MATCH(P18,'Recurring Budgets'!$A$2:$A$125,0))</f>
        <v>0.4833</v>
      </c>
      <c r="K18" s="50" t="n">
        <f aca="false">I18+J18</f>
        <v>1.7333</v>
      </c>
      <c r="L18" s="2" t="n">
        <f aca="false">ROUND(K18*60,0)</f>
        <v>104</v>
      </c>
      <c r="M18" s="51" t="n">
        <f aca="false">INDEX('Recurring Budgets'!$M$2:$M$125,MATCH(P18,'Recurring Budgets'!$A$2:$A$125,0))</f>
        <v>239.575</v>
      </c>
      <c r="N18" s="39" t="str">
        <f aca="false">INDEX('Recurring Budgets'!$P$2:$P$125,MATCH(P18,'Recurring Budgets'!$A$2:$A$125,0))</f>
        <v>Provisional</v>
      </c>
      <c r="O18" s="39" t="str">
        <f aca="false">INDEX('Recurring Budgets'!$Q$2:$Q$125,MATCH(P18,'Recurring Budgets'!$A$2:$A$125,0))</f>
        <v>Josephine's Apr–May 2026 closes + allowance for a new person (Valentina's hours not used). Will become an Airbnb – provisional. Revisit once it converts. Review = median of 8 closes reviewed in Harvest (0.48h).</v>
      </c>
      <c r="P18" s="2" t="s">
        <v>278</v>
      </c>
    </row>
    <row r="19" customFormat="false" ht="15" hidden="false" customHeight="false" outlineLevel="0" collapsed="false">
      <c r="A19" s="2" t="s">
        <v>26</v>
      </c>
      <c r="B19" s="2" t="s">
        <v>237</v>
      </c>
      <c r="C19" s="2" t="s">
        <v>170</v>
      </c>
      <c r="D19" s="59" t="n">
        <v>46325</v>
      </c>
      <c r="E19" s="2" t="s">
        <v>488</v>
      </c>
      <c r="F19" s="2" t="s">
        <v>489</v>
      </c>
      <c r="G19" s="2" t="s">
        <v>170</v>
      </c>
      <c r="H19" s="2" t="s">
        <v>490</v>
      </c>
      <c r="I19" s="45" t="n">
        <f aca="false">INDEX('1099 Oct 30'!$F$5:$F$45,MATCH(P19,'1099 Oct 30'!$A$5:$A$45,0))</f>
        <v>0.375</v>
      </c>
      <c r="J19" s="44" t="n">
        <v>0</v>
      </c>
      <c r="K19" s="50" t="n">
        <f aca="false">I19+J19</f>
        <v>0.375</v>
      </c>
      <c r="L19" s="2" t="n">
        <f aca="false">ROUND(K19*60,0)</f>
        <v>23</v>
      </c>
      <c r="M19" s="51" t="n">
        <f aca="false">I19*Assumptions!$B$4</f>
        <v>35.625</v>
      </c>
      <c r="N19" s="52" t="s">
        <v>238</v>
      </c>
      <c r="O19" s="2" t="s">
        <v>491</v>
      </c>
      <c r="P19" s="2" t="s">
        <v>26</v>
      </c>
    </row>
    <row r="20" customFormat="false" ht="15" hidden="false" customHeight="false" outlineLevel="0" collapsed="false">
      <c r="A20" s="2" t="s">
        <v>27</v>
      </c>
      <c r="B20" s="2" t="s">
        <v>484</v>
      </c>
      <c r="C20" s="2" t="s">
        <v>242</v>
      </c>
      <c r="D20" s="59" t="n">
        <v>46275</v>
      </c>
      <c r="E20" s="2" t="s">
        <v>498</v>
      </c>
      <c r="F20" s="2" t="s">
        <v>495</v>
      </c>
      <c r="G20" s="2" t="s">
        <v>15</v>
      </c>
      <c r="H20" s="2" t="s">
        <v>487</v>
      </c>
      <c r="I20" s="45" t="n">
        <f aca="false">INDEX('Recurring Budgets'!$F$2:$F$125,MATCH(P20,'Recurring Budgets'!$A$2:$A$125,0))</f>
        <v>16.1667</v>
      </c>
      <c r="J20" s="45" t="n">
        <f aca="false">INDEX('Recurring Budgets'!$G$2:$G$125,MATCH(P20,'Recurring Budgets'!$A$2:$A$125,0))</f>
        <v>1</v>
      </c>
      <c r="K20" s="50" t="n">
        <f aca="false">I20+J20</f>
        <v>17.1667</v>
      </c>
      <c r="L20" s="2" t="n">
        <f aca="false">ROUND(K20*60,0)</f>
        <v>1030</v>
      </c>
      <c r="M20" s="51" t="n">
        <f aca="false">INDEX('Recurring Budgets'!$M$2:$M$125,MATCH(P20,'Recurring Budgets'!$A$2:$A$125,0))</f>
        <v>1785.8365</v>
      </c>
      <c r="N20" s="39" t="str">
        <f aca="false">INDEX('Recurring Budgets'!$P$2:$P$125,MATCH(P20,'Recurring Budgets'!$A$2:$A$125,0))</f>
        <v>High</v>
      </c>
      <c r="O20" s="39" t="str">
        <f aca="false">INDEX('Recurring Budgets'!$Q$2:$Q$125,MATCH(P20,'Recurring Budgets'!$A$2:$A$125,0))</f>
        <v>Includes Month-end 5.0, Payroll 11.7, CFO advisory 0.2. Review = median of 4 closes reviewed in Harvest (1.00h).</v>
      </c>
      <c r="P20" s="2" t="s">
        <v>284</v>
      </c>
    </row>
    <row r="21" customFormat="false" ht="15" hidden="false" customHeight="false" outlineLevel="0" collapsed="false">
      <c r="A21" s="2" t="s">
        <v>27</v>
      </c>
      <c r="B21" s="2" t="s">
        <v>500</v>
      </c>
      <c r="C21" s="2" t="s">
        <v>287</v>
      </c>
      <c r="D21" s="59" t="n">
        <v>46297</v>
      </c>
      <c r="E21" s="2" t="s">
        <v>493</v>
      </c>
      <c r="F21" s="2" t="s">
        <v>489</v>
      </c>
      <c r="G21" s="2" t="s">
        <v>30</v>
      </c>
      <c r="H21" s="2" t="s">
        <v>487</v>
      </c>
      <c r="I21" s="45" t="n">
        <f aca="false">INDEX('Recurring Budgets'!$F$2:$F$125,MATCH(P21,'Recurring Budgets'!$A$2:$A$125,0))</f>
        <v>1.8333</v>
      </c>
      <c r="J21" s="45" t="n">
        <f aca="false">INDEX('Recurring Budgets'!$G$2:$G$125,MATCH(P21,'Recurring Budgets'!$A$2:$A$125,0))</f>
        <v>0</v>
      </c>
      <c r="K21" s="50" t="n">
        <f aca="false">I21+J21</f>
        <v>1.8333</v>
      </c>
      <c r="L21" s="2" t="n">
        <f aca="false">ROUND(K21*60,0)</f>
        <v>110</v>
      </c>
      <c r="M21" s="51" t="n">
        <f aca="false">INDEX('Recurring Budgets'!$M$2:$M$125,MATCH(P21,'Recurring Budgets'!$A$2:$A$125,0))</f>
        <v>174.1635</v>
      </c>
      <c r="N21" s="39" t="str">
        <f aca="false">INDEX('Recurring Budgets'!$P$2:$P$125,MATCH(P21,'Recurring Budgets'!$A$2:$A$125,0))</f>
        <v>High</v>
      </c>
      <c r="O21" s="39" t="str">
        <f aca="false">INDEX('Recurring Budgets'!$Q$2:$Q$125,MATCH(P21,'Recurring Budgets'!$A$2:$A$125,0))</f>
        <v>Weekly bookkeeping/settlement time ÷ weeks per month.</v>
      </c>
      <c r="P21" s="2" t="s">
        <v>286</v>
      </c>
    </row>
    <row r="22" customFormat="false" ht="15" hidden="false" customHeight="false" outlineLevel="0" collapsed="false">
      <c r="A22" s="2" t="s">
        <v>27</v>
      </c>
      <c r="B22" s="2" t="s">
        <v>492</v>
      </c>
      <c r="C22" s="2" t="s">
        <v>242</v>
      </c>
      <c r="D22" s="59" t="n">
        <v>46304</v>
      </c>
      <c r="E22" s="2" t="s">
        <v>499</v>
      </c>
      <c r="F22" s="2" t="s">
        <v>495</v>
      </c>
      <c r="G22" s="2" t="s">
        <v>15</v>
      </c>
      <c r="H22" s="2" t="s">
        <v>487</v>
      </c>
      <c r="I22" s="45" t="n">
        <f aca="false">INDEX('Recurring Budgets'!$F$2:$F$125,MATCH(P22,'Recurring Budgets'!$A$2:$A$125,0))</f>
        <v>16.1667</v>
      </c>
      <c r="J22" s="45" t="n">
        <f aca="false">INDEX('Recurring Budgets'!$G$2:$G$125,MATCH(P22,'Recurring Budgets'!$A$2:$A$125,0))</f>
        <v>1</v>
      </c>
      <c r="K22" s="50" t="n">
        <f aca="false">I22+J22</f>
        <v>17.1667</v>
      </c>
      <c r="L22" s="2" t="n">
        <f aca="false">ROUND(K22*60,0)</f>
        <v>1030</v>
      </c>
      <c r="M22" s="51" t="n">
        <f aca="false">INDEX('Recurring Budgets'!$M$2:$M$125,MATCH(P22,'Recurring Budgets'!$A$2:$A$125,0))</f>
        <v>1785.8365</v>
      </c>
      <c r="N22" s="39" t="str">
        <f aca="false">INDEX('Recurring Budgets'!$P$2:$P$125,MATCH(P22,'Recurring Budgets'!$A$2:$A$125,0))</f>
        <v>High</v>
      </c>
      <c r="O22" s="39" t="str">
        <f aca="false">INDEX('Recurring Budgets'!$Q$2:$Q$125,MATCH(P22,'Recurring Budgets'!$A$2:$A$125,0))</f>
        <v>Includes Month-end 5.0, Payroll 11.7, CFO advisory 0.2. Review = median of 4 closes reviewed in Harvest (1.00h).</v>
      </c>
      <c r="P22" s="2" t="s">
        <v>284</v>
      </c>
    </row>
    <row r="23" customFormat="false" ht="15" hidden="false" customHeight="false" outlineLevel="0" collapsed="false">
      <c r="A23" s="2" t="s">
        <v>27</v>
      </c>
      <c r="B23" s="2" t="s">
        <v>237</v>
      </c>
      <c r="C23" s="2" t="s">
        <v>170</v>
      </c>
      <c r="D23" s="59" t="n">
        <v>46325</v>
      </c>
      <c r="E23" s="2" t="s">
        <v>488</v>
      </c>
      <c r="F23" s="2" t="s">
        <v>489</v>
      </c>
      <c r="G23" s="2" t="s">
        <v>170</v>
      </c>
      <c r="H23" s="2" t="s">
        <v>490</v>
      </c>
      <c r="I23" s="45" t="n">
        <f aca="false">INDEX('1099 Oct 30'!$F$5:$F$45,MATCH(P23,'1099 Oct 30'!$A$5:$A$45,0))</f>
        <v>0.75</v>
      </c>
      <c r="J23" s="44" t="n">
        <v>0</v>
      </c>
      <c r="K23" s="50" t="n">
        <f aca="false">I23+J23</f>
        <v>0.75</v>
      </c>
      <c r="L23" s="2" t="n">
        <f aca="false">ROUND(K23*60,0)</f>
        <v>45</v>
      </c>
      <c r="M23" s="51" t="n">
        <f aca="false">I23*Assumptions!$B$4</f>
        <v>71.25</v>
      </c>
      <c r="N23" s="52" t="s">
        <v>238</v>
      </c>
      <c r="O23" s="2" t="s">
        <v>491</v>
      </c>
      <c r="P23" s="2" t="s">
        <v>27</v>
      </c>
    </row>
    <row r="24" customFormat="false" ht="15" hidden="false" customHeight="false" outlineLevel="0" collapsed="false">
      <c r="A24" s="2" t="s">
        <v>27</v>
      </c>
      <c r="B24" s="2" t="s">
        <v>501</v>
      </c>
      <c r="C24" s="2" t="s">
        <v>282</v>
      </c>
      <c r="D24" s="59" t="n">
        <v>46325</v>
      </c>
      <c r="E24" s="2" t="s">
        <v>493</v>
      </c>
      <c r="F24" s="2" t="s">
        <v>486</v>
      </c>
      <c r="G24" s="2" t="s">
        <v>21</v>
      </c>
      <c r="H24" s="2" t="s">
        <v>487</v>
      </c>
      <c r="I24" s="45" t="n">
        <f aca="false">INDEX('Recurring Budgets'!$F$2:$F$125,MATCH(P24,'Recurring Budgets'!$A$2:$A$125,0))</f>
        <v>5.6667</v>
      </c>
      <c r="J24" s="45" t="n">
        <f aca="false">INDEX('Recurring Budgets'!$G$2:$G$125,MATCH(P24,'Recurring Budgets'!$A$2:$A$125,0))</f>
        <v>0</v>
      </c>
      <c r="K24" s="50" t="n">
        <f aca="false">I24+J24</f>
        <v>5.6667</v>
      </c>
      <c r="L24" s="2" t="n">
        <f aca="false">ROUND(K24*60,0)</f>
        <v>340</v>
      </c>
      <c r="M24" s="51" t="n">
        <f aca="false">INDEX('Recurring Budgets'!$M$2:$M$125,MATCH(P24,'Recurring Budgets'!$A$2:$A$125,0))</f>
        <v>538.3365</v>
      </c>
      <c r="N24" s="39" t="str">
        <f aca="false">INDEX('Recurring Budgets'!$P$2:$P$125,MATCH(P24,'Recurring Budgets'!$A$2:$A$125,0))</f>
        <v>High</v>
      </c>
      <c r="O24" s="39" t="str">
        <f aca="false">INDEX('Recurring Budgets'!$Q$2:$Q$125,MATCH(P24,'Recurring Budgets'!$A$2:$A$125,0))</f>
        <v>Year-end/tax hours Oct 2025–Sep 2026 (5.6h).</v>
      </c>
      <c r="P24" s="2" t="s">
        <v>281</v>
      </c>
    </row>
    <row r="25" customFormat="false" ht="15" hidden="false" customHeight="false" outlineLevel="0" collapsed="false">
      <c r="A25" s="2" t="s">
        <v>31</v>
      </c>
      <c r="B25" s="2" t="s">
        <v>484</v>
      </c>
      <c r="C25" s="2" t="s">
        <v>242</v>
      </c>
      <c r="D25" s="59" t="n">
        <v>46281</v>
      </c>
      <c r="E25" s="2" t="s">
        <v>493</v>
      </c>
      <c r="F25" s="2" t="s">
        <v>486</v>
      </c>
      <c r="G25" s="2" t="s">
        <v>15</v>
      </c>
      <c r="H25" s="2" t="s">
        <v>487</v>
      </c>
      <c r="I25" s="45" t="n">
        <f aca="false">INDEX('Recurring Budgets'!$F$2:$F$125,MATCH(P25,'Recurring Budgets'!$A$2:$A$125,0))</f>
        <v>0.75</v>
      </c>
      <c r="J25" s="45" t="n">
        <f aca="false">INDEX('Recurring Budgets'!$G$2:$G$125,MATCH(P25,'Recurring Budgets'!$A$2:$A$125,0))</f>
        <v>0.5</v>
      </c>
      <c r="K25" s="50" t="n">
        <f aca="false">I25+J25</f>
        <v>1.25</v>
      </c>
      <c r="L25" s="2" t="n">
        <f aca="false">ROUND(K25*60,0)</f>
        <v>75</v>
      </c>
      <c r="M25" s="51" t="n">
        <f aca="false">INDEX('Recurring Budgets'!$M$2:$M$125,MATCH(P25,'Recurring Budgets'!$A$2:$A$125,0))</f>
        <v>196.25</v>
      </c>
      <c r="N25" s="39" t="str">
        <f aca="false">INDEX('Recurring Budgets'!$P$2:$P$125,MATCH(P25,'Recurring Budgets'!$A$2:$A$125,0))</f>
        <v>High</v>
      </c>
      <c r="O25" s="39" t="str">
        <f aca="false">INDEX('Recurring Budgets'!$Q$2:$Q$125,MATCH(P25,'Recurring Budgets'!$A$2:$A$125,0))</f>
        <v>Includes Month-end 0.7, Payroll 0.4. Review = median of 4 closes reviewed in Harvest (0.50h).</v>
      </c>
      <c r="P25" s="2" t="s">
        <v>291</v>
      </c>
    </row>
    <row r="26" customFormat="false" ht="15" hidden="false" customHeight="false" outlineLevel="0" collapsed="false">
      <c r="A26" s="2" t="s">
        <v>31</v>
      </c>
      <c r="B26" s="2" t="s">
        <v>492</v>
      </c>
      <c r="C26" s="2" t="s">
        <v>242</v>
      </c>
      <c r="D26" s="59" t="n">
        <v>46311</v>
      </c>
      <c r="E26" s="2" t="s">
        <v>493</v>
      </c>
      <c r="F26" s="2" t="s">
        <v>495</v>
      </c>
      <c r="G26" s="2" t="s">
        <v>15</v>
      </c>
      <c r="H26" s="2" t="s">
        <v>487</v>
      </c>
      <c r="I26" s="45" t="n">
        <f aca="false">INDEX('Recurring Budgets'!$F$2:$F$125,MATCH(P26,'Recurring Budgets'!$A$2:$A$125,0))</f>
        <v>0.75</v>
      </c>
      <c r="J26" s="45" t="n">
        <f aca="false">INDEX('Recurring Budgets'!$G$2:$G$125,MATCH(P26,'Recurring Budgets'!$A$2:$A$125,0))</f>
        <v>0.5</v>
      </c>
      <c r="K26" s="50" t="n">
        <f aca="false">I26+J26</f>
        <v>1.25</v>
      </c>
      <c r="L26" s="2" t="n">
        <f aca="false">ROUND(K26*60,0)</f>
        <v>75</v>
      </c>
      <c r="M26" s="51" t="n">
        <f aca="false">INDEX('Recurring Budgets'!$M$2:$M$125,MATCH(P26,'Recurring Budgets'!$A$2:$A$125,0))</f>
        <v>196.25</v>
      </c>
      <c r="N26" s="39" t="str">
        <f aca="false">INDEX('Recurring Budgets'!$P$2:$P$125,MATCH(P26,'Recurring Budgets'!$A$2:$A$125,0))</f>
        <v>High</v>
      </c>
      <c r="O26" s="39" t="str">
        <f aca="false">INDEX('Recurring Budgets'!$Q$2:$Q$125,MATCH(P26,'Recurring Budgets'!$A$2:$A$125,0))</f>
        <v>Includes Month-end 0.7, Payroll 0.4. Review = median of 4 closes reviewed in Harvest (0.50h).</v>
      </c>
      <c r="P26" s="2" t="s">
        <v>291</v>
      </c>
    </row>
    <row r="27" customFormat="false" ht="15" hidden="false" customHeight="false" outlineLevel="0" collapsed="false">
      <c r="A27" s="2" t="s">
        <v>31</v>
      </c>
      <c r="B27" s="2" t="s">
        <v>237</v>
      </c>
      <c r="C27" s="2" t="s">
        <v>170</v>
      </c>
      <c r="D27" s="59" t="n">
        <v>46325</v>
      </c>
      <c r="E27" s="2" t="s">
        <v>488</v>
      </c>
      <c r="F27" s="2" t="s">
        <v>489</v>
      </c>
      <c r="G27" s="2" t="s">
        <v>170</v>
      </c>
      <c r="H27" s="2" t="s">
        <v>490</v>
      </c>
      <c r="I27" s="45" t="n">
        <f aca="false">INDEX('1099 Oct 30'!$F$5:$F$45,MATCH(P27,'1099 Oct 30'!$A$5:$A$45,0))</f>
        <v>2</v>
      </c>
      <c r="J27" s="44" t="n">
        <v>0</v>
      </c>
      <c r="K27" s="50" t="n">
        <f aca="false">I27+J27</f>
        <v>2</v>
      </c>
      <c r="L27" s="2" t="n">
        <f aca="false">ROUND(K27*60,0)</f>
        <v>120</v>
      </c>
      <c r="M27" s="51" t="n">
        <f aca="false">I27*Assumptions!$B$4</f>
        <v>190</v>
      </c>
      <c r="N27" s="52" t="s">
        <v>238</v>
      </c>
      <c r="O27" s="2" t="s">
        <v>491</v>
      </c>
      <c r="P27" s="2" t="s">
        <v>31</v>
      </c>
    </row>
    <row r="28" customFormat="false" ht="15" hidden="false" customHeight="false" outlineLevel="0" collapsed="false">
      <c r="A28" s="2" t="s">
        <v>32</v>
      </c>
      <c r="B28" s="2" t="s">
        <v>484</v>
      </c>
      <c r="C28" s="2" t="s">
        <v>248</v>
      </c>
      <c r="D28" s="59" t="n">
        <v>46295</v>
      </c>
      <c r="E28" s="2" t="s">
        <v>493</v>
      </c>
      <c r="F28" s="2" t="s">
        <v>495</v>
      </c>
      <c r="G28" s="2" t="s">
        <v>15</v>
      </c>
      <c r="H28" s="2" t="s">
        <v>487</v>
      </c>
      <c r="I28" s="45" t="n">
        <f aca="false">INDEX('Recurring Budgets'!$F$2:$F$125,MATCH(P28,'Recurring Budgets'!$A$2:$A$125,0))</f>
        <v>2.8333</v>
      </c>
      <c r="J28" s="45" t="n">
        <f aca="false">INDEX('Recurring Budgets'!$G$2:$G$125,MATCH(P28,'Recurring Budgets'!$A$2:$A$125,0))</f>
        <v>1.1</v>
      </c>
      <c r="K28" s="50" t="n">
        <f aca="false">I28+J28</f>
        <v>3.9333</v>
      </c>
      <c r="L28" s="2" t="n">
        <f aca="false">ROUND(K28*60,0)</f>
        <v>236</v>
      </c>
      <c r="M28" s="51" t="n">
        <f aca="false">INDEX('Recurring Budgets'!$M$2:$M$125,MATCH(P28,'Recurring Budgets'!$A$2:$A$125,0))</f>
        <v>544.1635</v>
      </c>
      <c r="N28" s="39" t="str">
        <f aca="false">INDEX('Recurring Budgets'!$P$2:$P$125,MATCH(P28,'Recurring Budgets'!$A$2:$A$125,0))</f>
        <v>High</v>
      </c>
      <c r="O28" s="39" t="str">
        <f aca="false">INDEX('Recurring Budgets'!$Q$2:$Q$125,MATCH(P28,'Recurring Budgets'!$A$2:$A$125,0))</f>
        <v>Includes Month-end 2.6, Bookkeeping 0.9. Review = 1.10h as logged (only 2 reviewed close(s) in Harvest – check).</v>
      </c>
      <c r="P28" s="2" t="s">
        <v>296</v>
      </c>
    </row>
    <row r="29" customFormat="false" ht="15" hidden="false" customHeight="false" outlineLevel="0" collapsed="false">
      <c r="A29" s="2" t="s">
        <v>32</v>
      </c>
      <c r="B29" s="2" t="s">
        <v>501</v>
      </c>
      <c r="C29" s="2" t="s">
        <v>282</v>
      </c>
      <c r="D29" s="59" t="n">
        <v>46325</v>
      </c>
      <c r="E29" s="2" t="s">
        <v>493</v>
      </c>
      <c r="F29" s="2" t="s">
        <v>486</v>
      </c>
      <c r="G29" s="2" t="s">
        <v>21</v>
      </c>
      <c r="H29" s="2" t="s">
        <v>487</v>
      </c>
      <c r="I29" s="45" t="n">
        <f aca="false">INDEX('Recurring Budgets'!$F$2:$F$125,MATCH(P29,'Recurring Budgets'!$A$2:$A$125,0))</f>
        <v>0.5</v>
      </c>
      <c r="J29" s="45" t="n">
        <f aca="false">INDEX('Recurring Budgets'!$G$2:$G$125,MATCH(P29,'Recurring Budgets'!$A$2:$A$125,0))</f>
        <v>0</v>
      </c>
      <c r="K29" s="50" t="n">
        <f aca="false">I29+J29</f>
        <v>0.5</v>
      </c>
      <c r="L29" s="2" t="n">
        <f aca="false">ROUND(K29*60,0)</f>
        <v>30</v>
      </c>
      <c r="M29" s="51" t="n">
        <f aca="false">INDEX('Recurring Budgets'!$M$2:$M$125,MATCH(P29,'Recurring Budgets'!$A$2:$A$125,0))</f>
        <v>47.5</v>
      </c>
      <c r="N29" s="39" t="str">
        <f aca="false">INDEX('Recurring Budgets'!$P$2:$P$125,MATCH(P29,'Recurring Budgets'!$A$2:$A$125,0))</f>
        <v>High</v>
      </c>
      <c r="O29" s="39" t="str">
        <f aca="false">INDEX('Recurring Budgets'!$Q$2:$Q$125,MATCH(P29,'Recurring Budgets'!$A$2:$A$125,0))</f>
        <v>Year-end/tax hours Oct 2025–Sep 2026 (0.5h).</v>
      </c>
      <c r="P29" s="2" t="s">
        <v>293</v>
      </c>
    </row>
    <row r="30" customFormat="false" ht="15" hidden="false" customHeight="false" outlineLevel="0" collapsed="false">
      <c r="A30" s="2" t="s">
        <v>106</v>
      </c>
      <c r="B30" s="2" t="s">
        <v>107</v>
      </c>
      <c r="C30" s="2" t="s">
        <v>502</v>
      </c>
      <c r="D30" s="59" t="n">
        <v>46291</v>
      </c>
      <c r="E30" s="2" t="s">
        <v>503</v>
      </c>
      <c r="F30" s="2" t="s">
        <v>504</v>
      </c>
      <c r="G30" s="2" t="s">
        <v>108</v>
      </c>
      <c r="H30" s="2" t="s">
        <v>505</v>
      </c>
      <c r="I30" s="44" t="n">
        <v>2.5</v>
      </c>
      <c r="J30" s="44" t="n">
        <v>0</v>
      </c>
      <c r="K30" s="50" t="n">
        <f aca="false">I30+J30</f>
        <v>2.5</v>
      </c>
      <c r="L30" s="2" t="n">
        <f aca="false">ROUND(K30*60,0)</f>
        <v>150</v>
      </c>
      <c r="M30" s="51" t="n">
        <f aca="false">I30*Assumptions!$B$4+J30*Assumptions!$B$5</f>
        <v>237.5</v>
      </c>
      <c r="N30" s="52" t="s">
        <v>238</v>
      </c>
      <c r="O30" s="2" t="s">
        <v>506</v>
      </c>
      <c r="P30" s="2"/>
    </row>
    <row r="31" customFormat="false" ht="15" hidden="false" customHeight="false" outlineLevel="0" collapsed="false">
      <c r="A31" s="2" t="s">
        <v>33</v>
      </c>
      <c r="B31" s="2" t="s">
        <v>484</v>
      </c>
      <c r="C31" s="2" t="s">
        <v>242</v>
      </c>
      <c r="D31" s="59" t="n">
        <v>46282</v>
      </c>
      <c r="E31" s="2" t="s">
        <v>493</v>
      </c>
      <c r="F31" s="2" t="s">
        <v>486</v>
      </c>
      <c r="G31" s="2" t="s">
        <v>15</v>
      </c>
      <c r="H31" s="2" t="s">
        <v>487</v>
      </c>
      <c r="I31" s="45" t="n">
        <f aca="false">INDEX('Recurring Budgets'!$F$2:$F$125,MATCH(P31,'Recurring Budgets'!$A$2:$A$125,0))</f>
        <v>6.9167</v>
      </c>
      <c r="J31" s="45" t="n">
        <f aca="false">INDEX('Recurring Budgets'!$G$2:$G$125,MATCH(P31,'Recurring Budgets'!$A$2:$A$125,0))</f>
        <v>0.8</v>
      </c>
      <c r="K31" s="50" t="n">
        <f aca="false">I31+J31</f>
        <v>7.7167</v>
      </c>
      <c r="L31" s="2" t="n">
        <f aca="false">ROUND(K31*60,0)</f>
        <v>463</v>
      </c>
      <c r="M31" s="51" t="n">
        <f aca="false">INDEX('Recurring Budgets'!$M$2:$M$125,MATCH(P31,'Recurring Budgets'!$A$2:$A$125,0))</f>
        <v>857.0865</v>
      </c>
      <c r="N31" s="39" t="str">
        <f aca="false">INDEX('Recurring Budgets'!$P$2:$P$125,MATCH(P31,'Recurring Budgets'!$A$2:$A$125,0))</f>
        <v>High</v>
      </c>
      <c r="O31" s="39" t="str">
        <f aca="false">INDEX('Recurring Budgets'!$Q$2:$Q$125,MATCH(P31,'Recurring Budgets'!$A$2:$A$125,0))</f>
        <v>Includes Month-end 2.5, Bookkeeping 0.2, Payroll 1.6, CFO advisory 2.1. Review = median of 6 closes reviewed in Harvest (0.80h).</v>
      </c>
      <c r="P31" s="2" t="s">
        <v>299</v>
      </c>
    </row>
    <row r="32" customFormat="false" ht="15" hidden="false" customHeight="false" outlineLevel="0" collapsed="false">
      <c r="A32" s="2" t="s">
        <v>33</v>
      </c>
      <c r="B32" s="2" t="s">
        <v>492</v>
      </c>
      <c r="C32" s="2" t="s">
        <v>242</v>
      </c>
      <c r="D32" s="59" t="n">
        <v>46304</v>
      </c>
      <c r="E32" s="2" t="s">
        <v>493</v>
      </c>
      <c r="F32" s="2" t="s">
        <v>495</v>
      </c>
      <c r="G32" s="2" t="s">
        <v>15</v>
      </c>
      <c r="H32" s="2" t="s">
        <v>487</v>
      </c>
      <c r="I32" s="45" t="n">
        <f aca="false">INDEX('Recurring Budgets'!$F$2:$F$125,MATCH(P32,'Recurring Budgets'!$A$2:$A$125,0))</f>
        <v>6.9167</v>
      </c>
      <c r="J32" s="45" t="n">
        <f aca="false">INDEX('Recurring Budgets'!$G$2:$G$125,MATCH(P32,'Recurring Budgets'!$A$2:$A$125,0))</f>
        <v>0.8</v>
      </c>
      <c r="K32" s="50" t="n">
        <f aca="false">I32+J32</f>
        <v>7.7167</v>
      </c>
      <c r="L32" s="2" t="n">
        <f aca="false">ROUND(K32*60,0)</f>
        <v>463</v>
      </c>
      <c r="M32" s="51" t="n">
        <f aca="false">INDEX('Recurring Budgets'!$M$2:$M$125,MATCH(P32,'Recurring Budgets'!$A$2:$A$125,0))</f>
        <v>857.0865</v>
      </c>
      <c r="N32" s="39" t="str">
        <f aca="false">INDEX('Recurring Budgets'!$P$2:$P$125,MATCH(P32,'Recurring Budgets'!$A$2:$A$125,0))</f>
        <v>High</v>
      </c>
      <c r="O32" s="39" t="str">
        <f aca="false">INDEX('Recurring Budgets'!$Q$2:$Q$125,MATCH(P32,'Recurring Budgets'!$A$2:$A$125,0))</f>
        <v>Includes Month-end 2.5, Bookkeeping 0.2, Payroll 1.6, CFO advisory 2.1. Review = median of 6 closes reviewed in Harvest (0.80h).</v>
      </c>
      <c r="P32" s="2" t="s">
        <v>299</v>
      </c>
    </row>
    <row r="33" customFormat="false" ht="15" hidden="false" customHeight="false" outlineLevel="0" collapsed="false">
      <c r="A33" s="2" t="s">
        <v>33</v>
      </c>
      <c r="B33" s="2" t="s">
        <v>237</v>
      </c>
      <c r="C33" s="2" t="s">
        <v>170</v>
      </c>
      <c r="D33" s="59" t="n">
        <v>46325</v>
      </c>
      <c r="E33" s="2" t="s">
        <v>488</v>
      </c>
      <c r="F33" s="2" t="s">
        <v>489</v>
      </c>
      <c r="G33" s="2" t="s">
        <v>170</v>
      </c>
      <c r="H33" s="2" t="s">
        <v>490</v>
      </c>
      <c r="I33" s="45" t="n">
        <f aca="false">INDEX('1099 Oct 30'!$F$5:$F$45,MATCH(P33,'1099 Oct 30'!$A$5:$A$45,0))</f>
        <v>0.75</v>
      </c>
      <c r="J33" s="44" t="n">
        <v>0</v>
      </c>
      <c r="K33" s="50" t="n">
        <f aca="false">I33+J33</f>
        <v>0.75</v>
      </c>
      <c r="L33" s="2" t="n">
        <f aca="false">ROUND(K33*60,0)</f>
        <v>45</v>
      </c>
      <c r="M33" s="51" t="n">
        <f aca="false">I33*Assumptions!$B$4</f>
        <v>71.25</v>
      </c>
      <c r="N33" s="52" t="s">
        <v>238</v>
      </c>
      <c r="O33" s="2" t="s">
        <v>491</v>
      </c>
      <c r="P33" s="2" t="s">
        <v>33</v>
      </c>
    </row>
    <row r="34" customFormat="false" ht="15" hidden="false" customHeight="false" outlineLevel="0" collapsed="false">
      <c r="A34" s="2" t="s">
        <v>34</v>
      </c>
      <c r="B34" s="2" t="s">
        <v>484</v>
      </c>
      <c r="C34" s="2" t="s">
        <v>242</v>
      </c>
      <c r="D34" s="59" t="n">
        <v>46276</v>
      </c>
      <c r="E34" s="2" t="s">
        <v>493</v>
      </c>
      <c r="F34" s="2" t="s">
        <v>495</v>
      </c>
      <c r="G34" s="2" t="s">
        <v>15</v>
      </c>
      <c r="H34" s="2" t="s">
        <v>487</v>
      </c>
      <c r="I34" s="45" t="n">
        <f aca="false">INDEX('Recurring Budgets'!$F$2:$F$125,MATCH(P34,'Recurring Budgets'!$A$2:$A$125,0))</f>
        <v>0.4167</v>
      </c>
      <c r="J34" s="45" t="n">
        <f aca="false">INDEX('Recurring Budgets'!$G$2:$G$125,MATCH(P34,'Recurring Budgets'!$A$2:$A$125,0))</f>
        <v>0.5</v>
      </c>
      <c r="K34" s="50" t="n">
        <f aca="false">I34+J34</f>
        <v>0.9167</v>
      </c>
      <c r="L34" s="2" t="n">
        <f aca="false">ROUND(K34*60,0)</f>
        <v>55</v>
      </c>
      <c r="M34" s="51" t="n">
        <f aca="false">INDEX('Recurring Budgets'!$M$2:$M$125,MATCH(P34,'Recurring Budgets'!$A$2:$A$125,0))</f>
        <v>164.5865</v>
      </c>
      <c r="N34" s="39" t="str">
        <f aca="false">INDEX('Recurring Budgets'!$P$2:$P$125,MATCH(P34,'Recurring Budgets'!$A$2:$A$125,0))</f>
        <v>High</v>
      </c>
      <c r="O34" s="39" t="str">
        <f aca="false">INDEX('Recurring Budgets'!$Q$2:$Q$125,MATCH(P34,'Recurring Budgets'!$A$2:$A$125,0))</f>
        <v>Includes Month-end 0.7. Review = median of 4 closes reviewed in Harvest (0.50h).</v>
      </c>
      <c r="P34" s="2" t="s">
        <v>302</v>
      </c>
    </row>
    <row r="35" customFormat="false" ht="15" hidden="false" customHeight="false" outlineLevel="0" collapsed="false">
      <c r="A35" s="2" t="s">
        <v>34</v>
      </c>
      <c r="B35" s="2" t="s">
        <v>492</v>
      </c>
      <c r="C35" s="2" t="s">
        <v>242</v>
      </c>
      <c r="D35" s="59" t="n">
        <v>46307</v>
      </c>
      <c r="E35" s="2" t="s">
        <v>493</v>
      </c>
      <c r="F35" s="2" t="s">
        <v>495</v>
      </c>
      <c r="G35" s="2" t="s">
        <v>15</v>
      </c>
      <c r="H35" s="2" t="s">
        <v>487</v>
      </c>
      <c r="I35" s="45" t="n">
        <f aca="false">INDEX('Recurring Budgets'!$F$2:$F$125,MATCH(P35,'Recurring Budgets'!$A$2:$A$125,0))</f>
        <v>0.4167</v>
      </c>
      <c r="J35" s="45" t="n">
        <f aca="false">INDEX('Recurring Budgets'!$G$2:$G$125,MATCH(P35,'Recurring Budgets'!$A$2:$A$125,0))</f>
        <v>0.5</v>
      </c>
      <c r="K35" s="50" t="n">
        <f aca="false">I35+J35</f>
        <v>0.9167</v>
      </c>
      <c r="L35" s="2" t="n">
        <f aca="false">ROUND(K35*60,0)</f>
        <v>55</v>
      </c>
      <c r="M35" s="51" t="n">
        <f aca="false">INDEX('Recurring Budgets'!$M$2:$M$125,MATCH(P35,'Recurring Budgets'!$A$2:$A$125,0))</f>
        <v>164.5865</v>
      </c>
      <c r="N35" s="39" t="str">
        <f aca="false">INDEX('Recurring Budgets'!$P$2:$P$125,MATCH(P35,'Recurring Budgets'!$A$2:$A$125,0))</f>
        <v>High</v>
      </c>
      <c r="O35" s="39" t="str">
        <f aca="false">INDEX('Recurring Budgets'!$Q$2:$Q$125,MATCH(P35,'Recurring Budgets'!$A$2:$A$125,0))</f>
        <v>Includes Month-end 0.7. Review = median of 4 closes reviewed in Harvest (0.50h).</v>
      </c>
      <c r="P35" s="2" t="s">
        <v>302</v>
      </c>
    </row>
    <row r="36" customFormat="false" ht="15" hidden="false" customHeight="false" outlineLevel="0" collapsed="false">
      <c r="A36" s="2" t="s">
        <v>34</v>
      </c>
      <c r="B36" s="2" t="s">
        <v>237</v>
      </c>
      <c r="C36" s="2" t="s">
        <v>170</v>
      </c>
      <c r="D36" s="59" t="n">
        <v>46325</v>
      </c>
      <c r="E36" s="2" t="s">
        <v>488</v>
      </c>
      <c r="F36" s="2" t="s">
        <v>489</v>
      </c>
      <c r="G36" s="2" t="s">
        <v>170</v>
      </c>
      <c r="H36" s="2" t="s">
        <v>490</v>
      </c>
      <c r="I36" s="45" t="n">
        <f aca="false">INDEX('1099 Oct 30'!$F$5:$F$45,MATCH(P36,'1099 Oct 30'!$A$5:$A$45,0))</f>
        <v>0.75</v>
      </c>
      <c r="J36" s="44" t="n">
        <v>0</v>
      </c>
      <c r="K36" s="50" t="n">
        <f aca="false">I36+J36</f>
        <v>0.75</v>
      </c>
      <c r="L36" s="2" t="n">
        <f aca="false">ROUND(K36*60,0)</f>
        <v>45</v>
      </c>
      <c r="M36" s="51" t="n">
        <f aca="false">I36*Assumptions!$B$4</f>
        <v>71.25</v>
      </c>
      <c r="N36" s="52" t="s">
        <v>238</v>
      </c>
      <c r="O36" s="2" t="s">
        <v>491</v>
      </c>
      <c r="P36" s="2" t="s">
        <v>34</v>
      </c>
    </row>
    <row r="37" customFormat="false" ht="15" hidden="false" customHeight="false" outlineLevel="0" collapsed="false">
      <c r="A37" s="2" t="s">
        <v>35</v>
      </c>
      <c r="B37" s="2" t="s">
        <v>484</v>
      </c>
      <c r="C37" s="2" t="s">
        <v>242</v>
      </c>
      <c r="D37" s="59" t="n">
        <v>46275</v>
      </c>
      <c r="E37" s="2" t="s">
        <v>498</v>
      </c>
      <c r="F37" s="2" t="s">
        <v>486</v>
      </c>
      <c r="G37" s="2" t="s">
        <v>15</v>
      </c>
      <c r="H37" s="2" t="s">
        <v>487</v>
      </c>
      <c r="I37" s="45" t="n">
        <f aca="false">INDEX('Recurring Budgets'!$F$2:$F$125,MATCH(P37,'Recurring Budgets'!$A$2:$A$125,0))</f>
        <v>2.9167</v>
      </c>
      <c r="J37" s="45" t="n">
        <f aca="false">INDEX('Recurring Budgets'!$G$2:$G$125,MATCH(P37,'Recurring Budgets'!$A$2:$A$125,0))</f>
        <v>1.25</v>
      </c>
      <c r="K37" s="50" t="n">
        <f aca="false">I37+J37</f>
        <v>4.1667</v>
      </c>
      <c r="L37" s="2" t="n">
        <f aca="false">ROUND(K37*60,0)</f>
        <v>250</v>
      </c>
      <c r="M37" s="51" t="n">
        <f aca="false">INDEX('Recurring Budgets'!$M$2:$M$125,MATCH(P37,'Recurring Budgets'!$A$2:$A$125,0))</f>
        <v>589.5865</v>
      </c>
      <c r="N37" s="39" t="str">
        <f aca="false">INDEX('Recurring Budgets'!$P$2:$P$125,MATCH(P37,'Recurring Budgets'!$A$2:$A$125,0))</f>
        <v>High</v>
      </c>
      <c r="O37" s="39" t="str">
        <f aca="false">INDEX('Recurring Budgets'!$Q$2:$Q$125,MATCH(P37,'Recurring Budgets'!$A$2:$A$125,0))</f>
        <v>Includes Month-end 1.2, Bookkeeping 0.5, Payroll 1.3, Sales tax 0.8. Review = 1.25h as logged (only 2 reviewed close(s) in Harvest – check).</v>
      </c>
      <c r="P37" s="2" t="s">
        <v>306</v>
      </c>
    </row>
    <row r="38" customFormat="false" ht="15" hidden="false" customHeight="false" outlineLevel="0" collapsed="false">
      <c r="A38" s="2" t="s">
        <v>35</v>
      </c>
      <c r="B38" s="2" t="s">
        <v>492</v>
      </c>
      <c r="C38" s="2" t="s">
        <v>242</v>
      </c>
      <c r="D38" s="59" t="n">
        <v>46304</v>
      </c>
      <c r="E38" s="2" t="s">
        <v>493</v>
      </c>
      <c r="F38" s="2" t="s">
        <v>495</v>
      </c>
      <c r="G38" s="2" t="s">
        <v>15</v>
      </c>
      <c r="H38" s="2" t="s">
        <v>487</v>
      </c>
      <c r="I38" s="45" t="n">
        <f aca="false">INDEX('Recurring Budgets'!$F$2:$F$125,MATCH(P38,'Recurring Budgets'!$A$2:$A$125,0))</f>
        <v>2.9167</v>
      </c>
      <c r="J38" s="45" t="n">
        <f aca="false">INDEX('Recurring Budgets'!$G$2:$G$125,MATCH(P38,'Recurring Budgets'!$A$2:$A$125,0))</f>
        <v>1.25</v>
      </c>
      <c r="K38" s="50" t="n">
        <f aca="false">I38+J38</f>
        <v>4.1667</v>
      </c>
      <c r="L38" s="2" t="n">
        <f aca="false">ROUND(K38*60,0)</f>
        <v>250</v>
      </c>
      <c r="M38" s="51" t="n">
        <f aca="false">INDEX('Recurring Budgets'!$M$2:$M$125,MATCH(P38,'Recurring Budgets'!$A$2:$A$125,0))</f>
        <v>589.5865</v>
      </c>
      <c r="N38" s="39" t="str">
        <f aca="false">INDEX('Recurring Budgets'!$P$2:$P$125,MATCH(P38,'Recurring Budgets'!$A$2:$A$125,0))</f>
        <v>High</v>
      </c>
      <c r="O38" s="39" t="str">
        <f aca="false">INDEX('Recurring Budgets'!$Q$2:$Q$125,MATCH(P38,'Recurring Budgets'!$A$2:$A$125,0))</f>
        <v>Includes Month-end 1.2, Bookkeeping 0.5, Payroll 1.3, Sales tax 0.8. Review = 1.25h as logged (only 2 reviewed close(s) in Harvest – check).</v>
      </c>
      <c r="P38" s="2" t="s">
        <v>306</v>
      </c>
    </row>
    <row r="39" customFormat="false" ht="15" hidden="false" customHeight="false" outlineLevel="0" collapsed="false">
      <c r="A39" s="2" t="s">
        <v>35</v>
      </c>
      <c r="B39" s="2" t="s">
        <v>237</v>
      </c>
      <c r="C39" s="2" t="s">
        <v>170</v>
      </c>
      <c r="D39" s="59" t="n">
        <v>46325</v>
      </c>
      <c r="E39" s="2" t="s">
        <v>488</v>
      </c>
      <c r="F39" s="2" t="s">
        <v>489</v>
      </c>
      <c r="G39" s="2" t="s">
        <v>170</v>
      </c>
      <c r="H39" s="2" t="s">
        <v>490</v>
      </c>
      <c r="I39" s="45" t="n">
        <f aca="false">INDEX('1099 Oct 30'!$F$5:$F$45,MATCH(P39,'1099 Oct 30'!$A$5:$A$45,0))</f>
        <v>2</v>
      </c>
      <c r="J39" s="44" t="n">
        <v>0</v>
      </c>
      <c r="K39" s="50" t="n">
        <f aca="false">I39+J39</f>
        <v>2</v>
      </c>
      <c r="L39" s="2" t="n">
        <f aca="false">ROUND(K39*60,0)</f>
        <v>120</v>
      </c>
      <c r="M39" s="51" t="n">
        <f aca="false">I39*Assumptions!$B$4</f>
        <v>190</v>
      </c>
      <c r="N39" s="52" t="s">
        <v>238</v>
      </c>
      <c r="O39" s="2" t="s">
        <v>491</v>
      </c>
      <c r="P39" s="2" t="s">
        <v>35</v>
      </c>
    </row>
    <row r="40" customFormat="false" ht="15" hidden="false" customHeight="false" outlineLevel="0" collapsed="false">
      <c r="A40" s="2" t="s">
        <v>110</v>
      </c>
      <c r="B40" s="2" t="s">
        <v>111</v>
      </c>
      <c r="C40" s="2" t="s">
        <v>254</v>
      </c>
      <c r="D40" s="59" t="n">
        <v>46297</v>
      </c>
      <c r="E40" s="2" t="s">
        <v>485</v>
      </c>
      <c r="F40" s="2" t="s">
        <v>495</v>
      </c>
      <c r="G40" s="2" t="s">
        <v>108</v>
      </c>
      <c r="H40" s="2" t="s">
        <v>505</v>
      </c>
      <c r="I40" s="44" t="n">
        <v>0.5</v>
      </c>
      <c r="J40" s="44" t="n">
        <v>0</v>
      </c>
      <c r="K40" s="50" t="n">
        <f aca="false">I40+J40</f>
        <v>0.5</v>
      </c>
      <c r="L40" s="2" t="n">
        <f aca="false">ROUND(K40*60,0)</f>
        <v>30</v>
      </c>
      <c r="M40" s="51" t="n">
        <f aca="false">I40*Assumptions!$B$4+J40*Assumptions!$B$5</f>
        <v>47.5</v>
      </c>
      <c r="N40" s="52" t="s">
        <v>238</v>
      </c>
      <c r="O40" s="2" t="s">
        <v>507</v>
      </c>
      <c r="P40" s="2"/>
    </row>
    <row r="41" customFormat="false" ht="15" hidden="false" customHeight="false" outlineLevel="0" collapsed="false">
      <c r="A41" s="2" t="s">
        <v>110</v>
      </c>
      <c r="B41" s="2" t="s">
        <v>112</v>
      </c>
      <c r="C41" s="2" t="s">
        <v>254</v>
      </c>
      <c r="D41" s="59" t="n">
        <v>46297</v>
      </c>
      <c r="E41" s="2" t="s">
        <v>485</v>
      </c>
      <c r="F41" s="2" t="s">
        <v>504</v>
      </c>
      <c r="G41" s="2" t="s">
        <v>108</v>
      </c>
      <c r="H41" s="2" t="s">
        <v>505</v>
      </c>
      <c r="I41" s="44" t="n">
        <v>0.5</v>
      </c>
      <c r="J41" s="44" t="n">
        <v>0</v>
      </c>
      <c r="K41" s="50" t="n">
        <f aca="false">I41+J41</f>
        <v>0.5</v>
      </c>
      <c r="L41" s="2" t="n">
        <f aca="false">ROUND(K41*60,0)</f>
        <v>30</v>
      </c>
      <c r="M41" s="51" t="n">
        <f aca="false">I41*Assumptions!$B$4+J41*Assumptions!$B$5</f>
        <v>47.5</v>
      </c>
      <c r="N41" s="52" t="s">
        <v>238</v>
      </c>
      <c r="O41" s="2" t="s">
        <v>507</v>
      </c>
      <c r="P41" s="2"/>
    </row>
    <row r="42" customFormat="false" ht="15" hidden="false" customHeight="false" outlineLevel="0" collapsed="false">
      <c r="A42" s="2" t="s">
        <v>36</v>
      </c>
      <c r="B42" s="2" t="s">
        <v>113</v>
      </c>
      <c r="C42" s="2" t="s">
        <v>502</v>
      </c>
      <c r="D42" s="59" t="n">
        <v>46295</v>
      </c>
      <c r="E42" s="2" t="s">
        <v>485</v>
      </c>
      <c r="F42" s="2" t="s">
        <v>495</v>
      </c>
      <c r="G42" s="2" t="s">
        <v>108</v>
      </c>
      <c r="H42" s="2" t="s">
        <v>505</v>
      </c>
      <c r="I42" s="44" t="n">
        <v>10</v>
      </c>
      <c r="J42" s="44" t="n">
        <v>0</v>
      </c>
      <c r="K42" s="50" t="n">
        <f aca="false">I42+J42</f>
        <v>10</v>
      </c>
      <c r="L42" s="2" t="n">
        <f aca="false">ROUND(K42*60,0)</f>
        <v>600</v>
      </c>
      <c r="M42" s="51" t="n">
        <f aca="false">I42*Assumptions!$B$4+J42*Assumptions!$B$5</f>
        <v>950</v>
      </c>
      <c r="N42" s="52" t="s">
        <v>238</v>
      </c>
      <c r="O42" s="2" t="s">
        <v>508</v>
      </c>
      <c r="P42" s="2"/>
    </row>
    <row r="43" customFormat="false" ht="15" hidden="false" customHeight="false" outlineLevel="0" collapsed="false">
      <c r="A43" s="2" t="s">
        <v>36</v>
      </c>
      <c r="B43" s="2" t="s">
        <v>14</v>
      </c>
      <c r="C43" s="2" t="s">
        <v>242</v>
      </c>
      <c r="D43" s="59" t="n">
        <v>46304</v>
      </c>
      <c r="E43" s="2" t="s">
        <v>485</v>
      </c>
      <c r="F43" s="2" t="s">
        <v>495</v>
      </c>
      <c r="G43" s="2" t="s">
        <v>15</v>
      </c>
      <c r="H43" s="2" t="s">
        <v>487</v>
      </c>
      <c r="I43" s="45" t="n">
        <f aca="false">INDEX('Recurring Budgets'!$F$2:$F$125,MATCH(P43,'Recurring Budgets'!$A$2:$A$125,0))</f>
        <v>2.75</v>
      </c>
      <c r="J43" s="45" t="n">
        <f aca="false">INDEX('Recurring Budgets'!$G$2:$G$125,MATCH(P43,'Recurring Budgets'!$A$2:$A$125,0))</f>
        <v>0.5</v>
      </c>
      <c r="K43" s="50" t="n">
        <f aca="false">I43+J43</f>
        <v>3.25</v>
      </c>
      <c r="L43" s="2" t="n">
        <f aca="false">ROUND(K43*60,0)</f>
        <v>195</v>
      </c>
      <c r="M43" s="51" t="n">
        <f aca="false">INDEX('Recurring Budgets'!$M$2:$M$125,MATCH(P43,'Recurring Budgets'!$A$2:$A$125,0))</f>
        <v>812.5</v>
      </c>
      <c r="N43" s="39" t="str">
        <f aca="false">INDEX('Recurring Budgets'!$P$2:$P$125,MATCH(P43,'Recurring Budgets'!$A$2:$A$125,0))</f>
        <v>High</v>
      </c>
      <c r="O43" s="39" t="str">
        <f aca="false">INDEX('Recurring Budgets'!$Q$2:$Q$125,MATCH(P43,'Recurring Budgets'!$A$2:$A$125,0))</f>
        <v>Includes Month-end 0.5, CFO advisory 1.9. Review = 0.5h placeholder (no close reviews found in Harvest) – check.</v>
      </c>
      <c r="P43" s="2" t="s">
        <v>309</v>
      </c>
    </row>
    <row r="44" customFormat="false" ht="15" hidden="false" customHeight="false" outlineLevel="0" collapsed="false">
      <c r="A44" s="2" t="s">
        <v>36</v>
      </c>
      <c r="B44" s="2" t="s">
        <v>237</v>
      </c>
      <c r="C44" s="2" t="s">
        <v>170</v>
      </c>
      <c r="D44" s="59" t="n">
        <v>46325</v>
      </c>
      <c r="E44" s="2" t="s">
        <v>488</v>
      </c>
      <c r="F44" s="2" t="s">
        <v>489</v>
      </c>
      <c r="G44" s="2" t="s">
        <v>170</v>
      </c>
      <c r="H44" s="2" t="s">
        <v>490</v>
      </c>
      <c r="I44" s="45" t="n">
        <f aca="false">INDEX('1099 Oct 30'!$F$5:$F$45,MATCH(P44,'1099 Oct 30'!$A$5:$A$45,0))</f>
        <v>4</v>
      </c>
      <c r="J44" s="44" t="n">
        <v>0</v>
      </c>
      <c r="K44" s="50" t="n">
        <f aca="false">I44+J44</f>
        <v>4</v>
      </c>
      <c r="L44" s="2" t="n">
        <f aca="false">ROUND(K44*60,0)</f>
        <v>240</v>
      </c>
      <c r="M44" s="51" t="n">
        <f aca="false">I44*Assumptions!$B$4</f>
        <v>380</v>
      </c>
      <c r="N44" s="52" t="s">
        <v>238</v>
      </c>
      <c r="O44" s="2" t="s">
        <v>491</v>
      </c>
      <c r="P44" s="2" t="s">
        <v>36</v>
      </c>
    </row>
    <row r="45" customFormat="false" ht="15" hidden="false" customHeight="false" outlineLevel="0" collapsed="false">
      <c r="A45" s="2" t="s">
        <v>37</v>
      </c>
      <c r="B45" s="2" t="s">
        <v>114</v>
      </c>
      <c r="C45" s="2" t="s">
        <v>502</v>
      </c>
      <c r="D45" s="59" t="n">
        <v>46288</v>
      </c>
      <c r="E45" s="2" t="s">
        <v>493</v>
      </c>
      <c r="F45" s="2" t="s">
        <v>509</v>
      </c>
      <c r="G45" s="2" t="s">
        <v>108</v>
      </c>
      <c r="H45" s="2" t="s">
        <v>505</v>
      </c>
      <c r="I45" s="44" t="n">
        <v>5.5</v>
      </c>
      <c r="J45" s="44" t="n">
        <v>0</v>
      </c>
      <c r="K45" s="50" t="n">
        <f aca="false">I45+J45</f>
        <v>5.5</v>
      </c>
      <c r="L45" s="2" t="n">
        <f aca="false">ROUND(K45*60,0)</f>
        <v>330</v>
      </c>
      <c r="M45" s="51" t="n">
        <f aca="false">I45*Assumptions!$B$4+J45*Assumptions!$B$5</f>
        <v>522.5</v>
      </c>
      <c r="N45" s="52" t="s">
        <v>238</v>
      </c>
      <c r="O45" s="2" t="s">
        <v>510</v>
      </c>
      <c r="P45" s="2"/>
    </row>
    <row r="46" customFormat="false" ht="15" hidden="false" customHeight="false" outlineLevel="0" collapsed="false">
      <c r="A46" s="2" t="s">
        <v>37</v>
      </c>
      <c r="B46" s="2" t="s">
        <v>492</v>
      </c>
      <c r="C46" s="2" t="s">
        <v>242</v>
      </c>
      <c r="D46" s="59" t="n">
        <v>46308</v>
      </c>
      <c r="E46" s="2" t="s">
        <v>493</v>
      </c>
      <c r="F46" s="2" t="s">
        <v>495</v>
      </c>
      <c r="G46" s="2" t="s">
        <v>15</v>
      </c>
      <c r="H46" s="2" t="s">
        <v>487</v>
      </c>
      <c r="I46" s="45" t="n">
        <f aca="false">INDEX('Recurring Budgets'!$F$2:$F$125,MATCH(P46,'Recurring Budgets'!$A$2:$A$125,0))</f>
        <v>7.6667</v>
      </c>
      <c r="J46" s="45" t="n">
        <f aca="false">INDEX('Recurring Budgets'!$G$2:$G$125,MATCH(P46,'Recurring Budgets'!$A$2:$A$125,0))</f>
        <v>1.2</v>
      </c>
      <c r="K46" s="50" t="n">
        <f aca="false">I46+J46</f>
        <v>8.8667</v>
      </c>
      <c r="L46" s="2" t="n">
        <f aca="false">ROUND(K46*60,0)</f>
        <v>532</v>
      </c>
      <c r="M46" s="51" t="n">
        <f aca="false">INDEX('Recurring Budgets'!$M$2:$M$125,MATCH(P46,'Recurring Budgets'!$A$2:$A$125,0))</f>
        <v>1028.3365</v>
      </c>
      <c r="N46" s="39" t="str">
        <f aca="false">INDEX('Recurring Budgets'!$P$2:$P$125,MATCH(P46,'Recurring Budgets'!$A$2:$A$125,0))</f>
        <v>High</v>
      </c>
      <c r="O46" s="39" t="str">
        <f aca="false">INDEX('Recurring Budgets'!$Q$2:$Q$125,MATCH(P46,'Recurring Budgets'!$A$2:$A$125,0))</f>
        <v>Includes Month-end 3.4, Bookkeeping 0.7, Payroll 2.7, CFO advisory 0.3. Aug–Sep 2026 excluded (one-time payroll JE re-entry, resolved). Review = median of 3 closes reviewed in Harvest (1.20h).</v>
      </c>
      <c r="P46" s="2" t="s">
        <v>314</v>
      </c>
    </row>
    <row r="47" customFormat="false" ht="15" hidden="false" customHeight="false" outlineLevel="0" collapsed="false">
      <c r="A47" s="2" t="s">
        <v>37</v>
      </c>
      <c r="B47" s="2" t="s">
        <v>237</v>
      </c>
      <c r="C47" s="2" t="s">
        <v>170</v>
      </c>
      <c r="D47" s="59" t="n">
        <v>46325</v>
      </c>
      <c r="E47" s="2" t="s">
        <v>488</v>
      </c>
      <c r="F47" s="2" t="s">
        <v>489</v>
      </c>
      <c r="G47" s="2" t="s">
        <v>170</v>
      </c>
      <c r="H47" s="2" t="s">
        <v>490</v>
      </c>
      <c r="I47" s="45" t="n">
        <f aca="false">INDEX('1099 Oct 30'!$F$5:$F$45,MATCH(P47,'1099 Oct 30'!$A$5:$A$45,0))</f>
        <v>0.75</v>
      </c>
      <c r="J47" s="44" t="n">
        <v>0</v>
      </c>
      <c r="K47" s="50" t="n">
        <f aca="false">I47+J47</f>
        <v>0.75</v>
      </c>
      <c r="L47" s="2" t="n">
        <f aca="false">ROUND(K47*60,0)</f>
        <v>45</v>
      </c>
      <c r="M47" s="51" t="n">
        <f aca="false">I47*Assumptions!$B$4</f>
        <v>71.25</v>
      </c>
      <c r="N47" s="52" t="s">
        <v>238</v>
      </c>
      <c r="O47" s="2" t="s">
        <v>491</v>
      </c>
      <c r="P47" s="2" t="s">
        <v>37</v>
      </c>
    </row>
    <row r="48" customFormat="false" ht="15" hidden="false" customHeight="false" outlineLevel="0" collapsed="false">
      <c r="A48" s="2" t="s">
        <v>38</v>
      </c>
      <c r="B48" s="2" t="s">
        <v>484</v>
      </c>
      <c r="C48" s="2" t="s">
        <v>242</v>
      </c>
      <c r="D48" s="59" t="n">
        <v>46295</v>
      </c>
      <c r="E48" s="2" t="s">
        <v>493</v>
      </c>
      <c r="F48" s="2" t="s">
        <v>495</v>
      </c>
      <c r="G48" s="2" t="s">
        <v>15</v>
      </c>
      <c r="H48" s="2" t="s">
        <v>487</v>
      </c>
      <c r="I48" s="45" t="n">
        <f aca="false">INDEX('Recurring Budgets'!$F$2:$F$125,MATCH(P48,'Recurring Budgets'!$A$2:$A$125,0))</f>
        <v>4.4167</v>
      </c>
      <c r="J48" s="45" t="n">
        <f aca="false">INDEX('Recurring Budgets'!$G$2:$G$125,MATCH(P48,'Recurring Budgets'!$A$2:$A$125,0))</f>
        <v>0.7</v>
      </c>
      <c r="K48" s="50" t="n">
        <f aca="false">I48+J48</f>
        <v>5.1167</v>
      </c>
      <c r="L48" s="2" t="n">
        <f aca="false">ROUND(K48*60,0)</f>
        <v>307</v>
      </c>
      <c r="M48" s="51" t="n">
        <f aca="false">INDEX('Recurring Budgets'!$M$2:$M$125,MATCH(P48,'Recurring Budgets'!$A$2:$A$125,0))</f>
        <v>594.5865</v>
      </c>
      <c r="N48" s="39" t="str">
        <f aca="false">INDEX('Recurring Budgets'!$P$2:$P$125,MATCH(P48,'Recurring Budgets'!$A$2:$A$125,0))</f>
        <v>High</v>
      </c>
      <c r="O48" s="39" t="str">
        <f aca="false">INDEX('Recurring Budgets'!$Q$2:$Q$125,MATCH(P48,'Recurring Budgets'!$A$2:$A$125,0))</f>
        <v>Includes Month-end 4.7. Review = median of 6 closes reviewed in Harvest (0.70h).</v>
      </c>
      <c r="P48" s="2" t="s">
        <v>317</v>
      </c>
    </row>
    <row r="49" customFormat="false" ht="15" hidden="false" customHeight="false" outlineLevel="0" collapsed="false">
      <c r="A49" s="2" t="s">
        <v>38</v>
      </c>
      <c r="B49" s="2" t="s">
        <v>237</v>
      </c>
      <c r="C49" s="2" t="s">
        <v>170</v>
      </c>
      <c r="D49" s="59" t="n">
        <v>46325</v>
      </c>
      <c r="E49" s="2" t="s">
        <v>488</v>
      </c>
      <c r="F49" s="2" t="s">
        <v>489</v>
      </c>
      <c r="G49" s="2" t="s">
        <v>170</v>
      </c>
      <c r="H49" s="2" t="s">
        <v>490</v>
      </c>
      <c r="I49" s="45" t="n">
        <f aca="false">INDEX('1099 Oct 30'!$F$5:$F$45,MATCH(P49,'1099 Oct 30'!$A$5:$A$45,0))</f>
        <v>4</v>
      </c>
      <c r="J49" s="44" t="n">
        <v>0</v>
      </c>
      <c r="K49" s="50" t="n">
        <f aca="false">I49+J49</f>
        <v>4</v>
      </c>
      <c r="L49" s="2" t="n">
        <f aca="false">ROUND(K49*60,0)</f>
        <v>240</v>
      </c>
      <c r="M49" s="51" t="n">
        <f aca="false">I49*Assumptions!$B$4</f>
        <v>380</v>
      </c>
      <c r="N49" s="52" t="s">
        <v>238</v>
      </c>
      <c r="O49" s="2" t="s">
        <v>491</v>
      </c>
      <c r="P49" s="2" t="s">
        <v>38</v>
      </c>
    </row>
    <row r="50" customFormat="false" ht="15" hidden="false" customHeight="false" outlineLevel="0" collapsed="false">
      <c r="A50" s="2" t="s">
        <v>39</v>
      </c>
      <c r="B50" s="2" t="s">
        <v>492</v>
      </c>
      <c r="C50" s="2" t="s">
        <v>242</v>
      </c>
      <c r="D50" s="59" t="n">
        <v>46302</v>
      </c>
      <c r="E50" s="2" t="s">
        <v>499</v>
      </c>
      <c r="F50" s="2" t="s">
        <v>489</v>
      </c>
      <c r="G50" s="2" t="s">
        <v>15</v>
      </c>
      <c r="H50" s="2" t="s">
        <v>487</v>
      </c>
      <c r="I50" s="45" t="n">
        <f aca="false">INDEX('Recurring Budgets'!$F$2:$F$125,MATCH(P50,'Recurring Budgets'!$A$2:$A$125,0))</f>
        <v>0.75</v>
      </c>
      <c r="J50" s="45" t="n">
        <f aca="false">INDEX('Recurring Budgets'!$G$2:$G$125,MATCH(P50,'Recurring Budgets'!$A$2:$A$125,0))</f>
        <v>0.5</v>
      </c>
      <c r="K50" s="50" t="n">
        <f aca="false">I50+J50</f>
        <v>1.25</v>
      </c>
      <c r="L50" s="2" t="n">
        <f aca="false">ROUND(K50*60,0)</f>
        <v>75</v>
      </c>
      <c r="M50" s="51" t="n">
        <f aca="false">INDEX('Recurring Budgets'!$M$2:$M$125,MATCH(P50,'Recurring Budgets'!$A$2:$A$125,0))</f>
        <v>196.25</v>
      </c>
      <c r="N50" s="39" t="str">
        <f aca="false">INDEX('Recurring Budgets'!$P$2:$P$125,MATCH(P50,'Recurring Budgets'!$A$2:$A$125,0))</f>
        <v>Medium</v>
      </c>
      <c r="O50" s="39" t="str">
        <f aca="false">INDEX('Recurring Budgets'!$Q$2:$Q$125,MATCH(P50,'Recurring Budgets'!$A$2:$A$125,0))</f>
        <v>Josephine's Apr–May 2026 closes + allowance for a new person (Valentina's hours not used). Review = median of 7 closes reviewed in Harvest (0.50h).</v>
      </c>
      <c r="P50" s="2" t="s">
        <v>320</v>
      </c>
    </row>
    <row r="51" customFormat="false" ht="15" hidden="false" customHeight="false" outlineLevel="0" collapsed="false">
      <c r="A51" s="2" t="s">
        <v>39</v>
      </c>
      <c r="B51" s="2" t="s">
        <v>237</v>
      </c>
      <c r="C51" s="2" t="s">
        <v>170</v>
      </c>
      <c r="D51" s="59" t="n">
        <v>46325</v>
      </c>
      <c r="E51" s="2" t="s">
        <v>488</v>
      </c>
      <c r="F51" s="2" t="s">
        <v>489</v>
      </c>
      <c r="G51" s="2" t="s">
        <v>170</v>
      </c>
      <c r="H51" s="2" t="s">
        <v>490</v>
      </c>
      <c r="I51" s="45" t="n">
        <f aca="false">INDEX('1099 Oct 30'!$F$5:$F$45,MATCH(P51,'1099 Oct 30'!$A$5:$A$45,0))</f>
        <v>0.75</v>
      </c>
      <c r="J51" s="44" t="n">
        <v>0</v>
      </c>
      <c r="K51" s="50" t="n">
        <f aca="false">I51+J51</f>
        <v>0.75</v>
      </c>
      <c r="L51" s="2" t="n">
        <f aca="false">ROUND(K51*60,0)</f>
        <v>45</v>
      </c>
      <c r="M51" s="51" t="n">
        <f aca="false">I51*Assumptions!$B$4</f>
        <v>71.25</v>
      </c>
      <c r="N51" s="52" t="s">
        <v>238</v>
      </c>
      <c r="O51" s="2" t="s">
        <v>491</v>
      </c>
      <c r="P51" s="2" t="s">
        <v>39</v>
      </c>
    </row>
    <row r="52" customFormat="false" ht="15" hidden="false" customHeight="false" outlineLevel="0" collapsed="false">
      <c r="A52" s="2" t="s">
        <v>40</v>
      </c>
      <c r="B52" s="2" t="s">
        <v>484</v>
      </c>
      <c r="C52" s="2" t="s">
        <v>242</v>
      </c>
      <c r="D52" s="59" t="n">
        <v>46269</v>
      </c>
      <c r="E52" s="2" t="s">
        <v>488</v>
      </c>
      <c r="F52" s="2" t="s">
        <v>486</v>
      </c>
      <c r="G52" s="2" t="s">
        <v>15</v>
      </c>
      <c r="H52" s="2" t="s">
        <v>487</v>
      </c>
      <c r="I52" s="45" t="n">
        <f aca="false">INDEX('Recurring Budgets'!$F$2:$F$125,MATCH(P52,'Recurring Budgets'!$A$2:$A$125,0))</f>
        <v>5.75</v>
      </c>
      <c r="J52" s="45" t="n">
        <f aca="false">INDEX('Recurring Budgets'!$G$2:$G$125,MATCH(P52,'Recurring Budgets'!$A$2:$A$125,0))</f>
        <v>0.4833</v>
      </c>
      <c r="K52" s="50" t="n">
        <f aca="false">I52+J52</f>
        <v>6.2333</v>
      </c>
      <c r="L52" s="2" t="n">
        <f aca="false">ROUND(K52*60,0)</f>
        <v>374</v>
      </c>
      <c r="M52" s="51" t="n">
        <f aca="false">INDEX('Recurring Budgets'!$M$2:$M$125,MATCH(P52,'Recurring Budgets'!$A$2:$A$125,0))</f>
        <v>1558.325</v>
      </c>
      <c r="N52" s="39" t="str">
        <f aca="false">INDEX('Recurring Budgets'!$P$2:$P$125,MATCH(P52,'Recurring Budgets'!$A$2:$A$125,0))</f>
        <v>Low – based on Valentina's hours</v>
      </c>
      <c r="O52" s="39" t="str">
        <f aca="false">INDEX('Recurring Budgets'!$Q$2:$Q$125,MATCH(P52,'Recurring Budgets'!$A$2:$A$125,0))</f>
        <v>Includes Month-end 1.8, CFO advisory 3.8. Review = median of 4 closes reviewed in Harvest (0.48h).</v>
      </c>
      <c r="P52" s="2" t="s">
        <v>324</v>
      </c>
    </row>
    <row r="53" customFormat="false" ht="15" hidden="false" customHeight="false" outlineLevel="0" collapsed="false">
      <c r="A53" s="2" t="s">
        <v>40</v>
      </c>
      <c r="B53" s="2" t="s">
        <v>492</v>
      </c>
      <c r="C53" s="2" t="s">
        <v>242</v>
      </c>
      <c r="D53" s="59" t="n">
        <v>46301</v>
      </c>
      <c r="E53" s="2" t="s">
        <v>499</v>
      </c>
      <c r="F53" s="2" t="s">
        <v>495</v>
      </c>
      <c r="G53" s="2" t="s">
        <v>15</v>
      </c>
      <c r="H53" s="2" t="s">
        <v>487</v>
      </c>
      <c r="I53" s="45" t="n">
        <f aca="false">INDEX('Recurring Budgets'!$F$2:$F$125,MATCH(P53,'Recurring Budgets'!$A$2:$A$125,0))</f>
        <v>5.75</v>
      </c>
      <c r="J53" s="45" t="n">
        <f aca="false">INDEX('Recurring Budgets'!$G$2:$G$125,MATCH(P53,'Recurring Budgets'!$A$2:$A$125,0))</f>
        <v>0.4833</v>
      </c>
      <c r="K53" s="50" t="n">
        <f aca="false">I53+J53</f>
        <v>6.2333</v>
      </c>
      <c r="L53" s="2" t="n">
        <f aca="false">ROUND(K53*60,0)</f>
        <v>374</v>
      </c>
      <c r="M53" s="51" t="n">
        <f aca="false">INDEX('Recurring Budgets'!$M$2:$M$125,MATCH(P53,'Recurring Budgets'!$A$2:$A$125,0))</f>
        <v>1558.325</v>
      </c>
      <c r="N53" s="39" t="str">
        <f aca="false">INDEX('Recurring Budgets'!$P$2:$P$125,MATCH(P53,'Recurring Budgets'!$A$2:$A$125,0))</f>
        <v>Low – based on Valentina's hours</v>
      </c>
      <c r="O53" s="39" t="str">
        <f aca="false">INDEX('Recurring Budgets'!$Q$2:$Q$125,MATCH(P53,'Recurring Budgets'!$A$2:$A$125,0))</f>
        <v>Includes Month-end 1.8, CFO advisory 3.8. Review = median of 4 closes reviewed in Harvest (0.48h).</v>
      </c>
      <c r="P53" s="2" t="s">
        <v>324</v>
      </c>
    </row>
    <row r="54" customFormat="false" ht="15" hidden="false" customHeight="false" outlineLevel="0" collapsed="false">
      <c r="A54" s="2" t="s">
        <v>40</v>
      </c>
      <c r="B54" s="2" t="s">
        <v>237</v>
      </c>
      <c r="C54" s="2" t="s">
        <v>170</v>
      </c>
      <c r="D54" s="59" t="n">
        <v>46325</v>
      </c>
      <c r="E54" s="2" t="s">
        <v>488</v>
      </c>
      <c r="F54" s="2" t="s">
        <v>489</v>
      </c>
      <c r="G54" s="2" t="s">
        <v>170</v>
      </c>
      <c r="H54" s="2" t="s">
        <v>490</v>
      </c>
      <c r="I54" s="45" t="n">
        <f aca="false">INDEX('1099 Oct 30'!$F$5:$F$45,MATCH(P54,'1099 Oct 30'!$A$5:$A$45,0))</f>
        <v>0.75</v>
      </c>
      <c r="J54" s="44" t="n">
        <v>0</v>
      </c>
      <c r="K54" s="50" t="n">
        <f aca="false">I54+J54</f>
        <v>0.75</v>
      </c>
      <c r="L54" s="2" t="n">
        <f aca="false">ROUND(K54*60,0)</f>
        <v>45</v>
      </c>
      <c r="M54" s="51" t="n">
        <f aca="false">I54*Assumptions!$B$4</f>
        <v>71.25</v>
      </c>
      <c r="N54" s="52" t="s">
        <v>238</v>
      </c>
      <c r="O54" s="2" t="s">
        <v>491</v>
      </c>
      <c r="P54" s="2" t="s">
        <v>40</v>
      </c>
    </row>
    <row r="55" customFormat="false" ht="15" hidden="false" customHeight="false" outlineLevel="0" collapsed="false">
      <c r="A55" s="2" t="s">
        <v>328</v>
      </c>
      <c r="B55" s="2" t="s">
        <v>237</v>
      </c>
      <c r="C55" s="2" t="s">
        <v>254</v>
      </c>
      <c r="D55" s="59" t="n">
        <v>46325</v>
      </c>
      <c r="E55" s="2" t="s">
        <v>488</v>
      </c>
      <c r="F55" s="2" t="s">
        <v>489</v>
      </c>
      <c r="G55" s="2" t="s">
        <v>170</v>
      </c>
      <c r="H55" s="2" t="s">
        <v>329</v>
      </c>
      <c r="I55" s="50"/>
      <c r="J55" s="50"/>
      <c r="K55" s="50"/>
      <c r="L55" s="2"/>
      <c r="M55" s="57"/>
      <c r="N55" s="58" t="s">
        <v>329</v>
      </c>
      <c r="O55" s="2" t="s">
        <v>330</v>
      </c>
      <c r="P55" s="2"/>
    </row>
    <row r="56" customFormat="false" ht="15" hidden="false" customHeight="false" outlineLevel="0" collapsed="false">
      <c r="A56" s="2" t="s">
        <v>41</v>
      </c>
      <c r="B56" s="2" t="s">
        <v>484</v>
      </c>
      <c r="C56" s="2" t="s">
        <v>242</v>
      </c>
      <c r="D56" s="59" t="n">
        <v>46286</v>
      </c>
      <c r="E56" s="2" t="s">
        <v>498</v>
      </c>
      <c r="F56" s="2" t="s">
        <v>504</v>
      </c>
      <c r="G56" s="2" t="s">
        <v>15</v>
      </c>
      <c r="H56" s="2" t="s">
        <v>487</v>
      </c>
      <c r="I56" s="45" t="n">
        <f aca="false">INDEX('Recurring Budgets'!$F$2:$F$125,MATCH(P56,'Recurring Budgets'!$A$2:$A$125,0))</f>
        <v>5.5</v>
      </c>
      <c r="J56" s="45" t="n">
        <f aca="false">INDEX('Recurring Budgets'!$G$2:$G$125,MATCH(P56,'Recurring Budgets'!$A$2:$A$125,0))</f>
        <v>1.75</v>
      </c>
      <c r="K56" s="50" t="n">
        <f aca="false">I56+J56</f>
        <v>7.25</v>
      </c>
      <c r="L56" s="2" t="n">
        <f aca="false">ROUND(K56*60,0)</f>
        <v>435</v>
      </c>
      <c r="M56" s="51" t="n">
        <f aca="false">INDEX('Recurring Budgets'!$M$2:$M$125,MATCH(P56,'Recurring Budgets'!$A$2:$A$125,0))</f>
        <v>1812.5</v>
      </c>
      <c r="N56" s="39" t="str">
        <f aca="false">INDEX('Recurring Budgets'!$P$2:$P$125,MATCH(P56,'Recurring Budgets'!$A$2:$A$125,0))</f>
        <v>High</v>
      </c>
      <c r="O56" s="39" t="str">
        <f aca="false">INDEX('Recurring Budgets'!$Q$2:$Q$125,MATCH(P56,'Recurring Budgets'!$A$2:$A$125,0))</f>
        <v>Includes Month-end 0.1, CFO advisory 6.2. Steven's CFO client; in-house controller does the books. Forecast/budget meetings treated as recurring CFO work. Jul light because client's controller was out. Review = median of 7 closes reviewed in Harvest (1.75h).</v>
      </c>
      <c r="P56" s="2" t="s">
        <v>334</v>
      </c>
    </row>
    <row r="57" customFormat="false" ht="15" hidden="false" customHeight="false" outlineLevel="0" collapsed="false">
      <c r="A57" s="2" t="s">
        <v>41</v>
      </c>
      <c r="B57" s="2" t="s">
        <v>492</v>
      </c>
      <c r="C57" s="2" t="s">
        <v>242</v>
      </c>
      <c r="D57" s="59" t="n">
        <v>46316</v>
      </c>
      <c r="E57" s="2" t="s">
        <v>498</v>
      </c>
      <c r="F57" s="2" t="s">
        <v>504</v>
      </c>
      <c r="G57" s="2" t="s">
        <v>15</v>
      </c>
      <c r="H57" s="2" t="s">
        <v>487</v>
      </c>
      <c r="I57" s="45" t="n">
        <f aca="false">INDEX('Recurring Budgets'!$F$2:$F$125,MATCH(P57,'Recurring Budgets'!$A$2:$A$125,0))</f>
        <v>5.5</v>
      </c>
      <c r="J57" s="45" t="n">
        <f aca="false">INDEX('Recurring Budgets'!$G$2:$G$125,MATCH(P57,'Recurring Budgets'!$A$2:$A$125,0))</f>
        <v>1.75</v>
      </c>
      <c r="K57" s="50" t="n">
        <f aca="false">I57+J57</f>
        <v>7.25</v>
      </c>
      <c r="L57" s="2" t="n">
        <f aca="false">ROUND(K57*60,0)</f>
        <v>435</v>
      </c>
      <c r="M57" s="51" t="n">
        <f aca="false">INDEX('Recurring Budgets'!$M$2:$M$125,MATCH(P57,'Recurring Budgets'!$A$2:$A$125,0))</f>
        <v>1812.5</v>
      </c>
      <c r="N57" s="39" t="str">
        <f aca="false">INDEX('Recurring Budgets'!$P$2:$P$125,MATCH(P57,'Recurring Budgets'!$A$2:$A$125,0))</f>
        <v>High</v>
      </c>
      <c r="O57" s="39" t="str">
        <f aca="false">INDEX('Recurring Budgets'!$Q$2:$Q$125,MATCH(P57,'Recurring Budgets'!$A$2:$A$125,0))</f>
        <v>Includes Month-end 0.1, CFO advisory 6.2. Steven's CFO client; in-house controller does the books. Forecast/budget meetings treated as recurring CFO work. Jul light because client's controller was out. Review = median of 7 closes reviewed in Harvest (1.75h).</v>
      </c>
      <c r="P57" s="2" t="s">
        <v>334</v>
      </c>
    </row>
    <row r="58" customFormat="false" ht="15" hidden="false" customHeight="false" outlineLevel="0" collapsed="false">
      <c r="A58" s="2" t="s">
        <v>43</v>
      </c>
      <c r="B58" s="2" t="s">
        <v>237</v>
      </c>
      <c r="C58" s="2" t="s">
        <v>170</v>
      </c>
      <c r="D58" s="59" t="n">
        <v>46265</v>
      </c>
      <c r="E58" s="2" t="s">
        <v>493</v>
      </c>
      <c r="F58" s="2" t="s">
        <v>511</v>
      </c>
      <c r="G58" s="2" t="s">
        <v>170</v>
      </c>
      <c r="H58" s="2" t="s">
        <v>505</v>
      </c>
      <c r="I58" s="44" t="n">
        <v>0.75</v>
      </c>
      <c r="J58" s="44" t="n">
        <v>0</v>
      </c>
      <c r="K58" s="50" t="n">
        <f aca="false">I58+J58</f>
        <v>0.75</v>
      </c>
      <c r="L58" s="2" t="n">
        <f aca="false">ROUND(K58*60,0)</f>
        <v>45</v>
      </c>
      <c r="M58" s="51" t="n">
        <f aca="false">I58*Assumptions!$B$4+J58*Assumptions!$B$5</f>
        <v>71.25</v>
      </c>
      <c r="N58" s="52" t="s">
        <v>238</v>
      </c>
      <c r="O58" s="2" t="s">
        <v>512</v>
      </c>
      <c r="P58" s="2"/>
    </row>
    <row r="59" customFormat="false" ht="15" hidden="false" customHeight="false" outlineLevel="0" collapsed="false">
      <c r="A59" s="2" t="s">
        <v>43</v>
      </c>
      <c r="B59" s="2" t="s">
        <v>484</v>
      </c>
      <c r="C59" s="2" t="s">
        <v>242</v>
      </c>
      <c r="D59" s="59" t="n">
        <v>46295</v>
      </c>
      <c r="E59" s="2" t="s">
        <v>493</v>
      </c>
      <c r="F59" s="2" t="s">
        <v>486</v>
      </c>
      <c r="G59" s="2" t="s">
        <v>15</v>
      </c>
      <c r="H59" s="2" t="s">
        <v>487</v>
      </c>
      <c r="I59" s="45" t="n">
        <f aca="false">INDEX('Recurring Budgets'!$F$2:$F$125,MATCH(P59,'Recurring Budgets'!$A$2:$A$125,0))</f>
        <v>22.1667</v>
      </c>
      <c r="J59" s="45" t="n">
        <f aca="false">INDEX('Recurring Budgets'!$G$2:$G$125,MATCH(P59,'Recurring Budgets'!$A$2:$A$125,0))</f>
        <v>1.5</v>
      </c>
      <c r="K59" s="50" t="n">
        <f aca="false">I59+J59</f>
        <v>23.6667</v>
      </c>
      <c r="L59" s="2" t="n">
        <f aca="false">ROUND(K59*60,0)</f>
        <v>1420</v>
      </c>
      <c r="M59" s="51" t="n">
        <f aca="false">INDEX('Recurring Budgets'!$M$2:$M$125,MATCH(P59,'Recurring Budgets'!$A$2:$A$125,0))</f>
        <v>2480.8365</v>
      </c>
      <c r="N59" s="39" t="str">
        <f aca="false">INDEX('Recurring Budgets'!$P$2:$P$125,MATCH(P59,'Recurring Budgets'!$A$2:$A$125,0))</f>
        <v>High</v>
      </c>
      <c r="O59" s="39" t="str">
        <f aca="false">INDEX('Recurring Budgets'!$Q$2:$Q$125,MATCH(P59,'Recurring Budgets'!$A$2:$A$125,0))</f>
        <v>Includes Month-end 8.3, Payroll 9.4, CFO advisory 1.1. Sep 2026 excluded (Christine out of time, not less work). Review = median of 10 closes reviewed in Harvest (1.50h).</v>
      </c>
      <c r="P59" s="2" t="s">
        <v>339</v>
      </c>
    </row>
    <row r="60" customFormat="false" ht="15" hidden="false" customHeight="false" outlineLevel="0" collapsed="false">
      <c r="A60" s="2" t="s">
        <v>43</v>
      </c>
      <c r="B60" s="2" t="s">
        <v>115</v>
      </c>
      <c r="C60" s="2" t="s">
        <v>502</v>
      </c>
      <c r="D60" s="59" t="n">
        <v>46295</v>
      </c>
      <c r="E60" s="2" t="s">
        <v>493</v>
      </c>
      <c r="F60" s="2" t="s">
        <v>495</v>
      </c>
      <c r="G60" s="2" t="s">
        <v>108</v>
      </c>
      <c r="H60" s="2" t="s">
        <v>505</v>
      </c>
      <c r="I60" s="44" t="n">
        <v>8</v>
      </c>
      <c r="J60" s="44" t="n">
        <v>0</v>
      </c>
      <c r="K60" s="50" t="n">
        <f aca="false">I60+J60</f>
        <v>8</v>
      </c>
      <c r="L60" s="2" t="n">
        <f aca="false">ROUND(K60*60,0)</f>
        <v>480</v>
      </c>
      <c r="M60" s="51" t="n">
        <f aca="false">I60*Assumptions!$B$4+J60*Assumptions!$B$5</f>
        <v>760</v>
      </c>
      <c r="N60" s="52" t="s">
        <v>238</v>
      </c>
      <c r="O60" s="2" t="s">
        <v>513</v>
      </c>
      <c r="P60" s="2"/>
    </row>
    <row r="61" customFormat="false" ht="15" hidden="false" customHeight="false" outlineLevel="0" collapsed="false">
      <c r="A61" s="2" t="s">
        <v>43</v>
      </c>
      <c r="B61" s="2" t="s">
        <v>514</v>
      </c>
      <c r="C61" s="2" t="s">
        <v>248</v>
      </c>
      <c r="D61" s="59" t="n">
        <v>46300</v>
      </c>
      <c r="E61" s="2" t="s">
        <v>493</v>
      </c>
      <c r="F61" s="2" t="s">
        <v>495</v>
      </c>
      <c r="G61" s="2" t="s">
        <v>30</v>
      </c>
      <c r="H61" s="2" t="s">
        <v>487</v>
      </c>
      <c r="I61" s="45" t="n">
        <f aca="false">INDEX('Recurring Budgets'!$F$2:$F$125,MATCH(P61,'Recurring Budgets'!$A$2:$A$125,0))</f>
        <v>2.5833</v>
      </c>
      <c r="J61" s="45" t="n">
        <f aca="false">INDEX('Recurring Budgets'!$G$2:$G$125,MATCH(P61,'Recurring Budgets'!$A$2:$A$125,0))</f>
        <v>0</v>
      </c>
      <c r="K61" s="50" t="n">
        <f aca="false">I61+J61</f>
        <v>2.5833</v>
      </c>
      <c r="L61" s="2" t="n">
        <f aca="false">ROUND(K61*60,0)</f>
        <v>155</v>
      </c>
      <c r="M61" s="51" t="n">
        <f aca="false">INDEX('Recurring Budgets'!$M$2:$M$125,MATCH(P61,'Recurring Budgets'!$A$2:$A$125,0))</f>
        <v>245.4135</v>
      </c>
      <c r="N61" s="39" t="str">
        <f aca="false">INDEX('Recurring Budgets'!$P$2:$P$125,MATCH(P61,'Recurring Budgets'!$A$2:$A$125,0))</f>
        <v>High</v>
      </c>
      <c r="O61" s="39" t="str">
        <f aca="false">INDEX('Recurring Budgets'!$Q$2:$Q$125,MATCH(P61,'Recurring Budgets'!$A$2:$A$125,0))</f>
        <v>Weekly bookkeeping/settlement time ÷ weeks per month. Sep 2026 excluded (Christine out of time, not less work).</v>
      </c>
      <c r="P61" s="2" t="s">
        <v>341</v>
      </c>
    </row>
    <row r="62" customFormat="false" ht="15" hidden="false" customHeight="false" outlineLevel="0" collapsed="false">
      <c r="A62" s="2" t="s">
        <v>43</v>
      </c>
      <c r="B62" s="2" t="s">
        <v>515</v>
      </c>
      <c r="C62" s="2" t="s">
        <v>248</v>
      </c>
      <c r="D62" s="59" t="n">
        <v>46307</v>
      </c>
      <c r="E62" s="2" t="s">
        <v>493</v>
      </c>
      <c r="F62" s="2" t="s">
        <v>489</v>
      </c>
      <c r="G62" s="2" t="s">
        <v>30</v>
      </c>
      <c r="H62" s="2" t="s">
        <v>487</v>
      </c>
      <c r="I62" s="45" t="n">
        <f aca="false">INDEX('Recurring Budgets'!$F$2:$F$125,MATCH(P62,'Recurring Budgets'!$A$2:$A$125,0))</f>
        <v>2.5833</v>
      </c>
      <c r="J62" s="45" t="n">
        <f aca="false">INDEX('Recurring Budgets'!$G$2:$G$125,MATCH(P62,'Recurring Budgets'!$A$2:$A$125,0))</f>
        <v>0</v>
      </c>
      <c r="K62" s="50" t="n">
        <f aca="false">I62+J62</f>
        <v>2.5833</v>
      </c>
      <c r="L62" s="2" t="n">
        <f aca="false">ROUND(K62*60,0)</f>
        <v>155</v>
      </c>
      <c r="M62" s="51" t="n">
        <f aca="false">INDEX('Recurring Budgets'!$M$2:$M$125,MATCH(P62,'Recurring Budgets'!$A$2:$A$125,0))</f>
        <v>245.4135</v>
      </c>
      <c r="N62" s="39" t="str">
        <f aca="false">INDEX('Recurring Budgets'!$P$2:$P$125,MATCH(P62,'Recurring Budgets'!$A$2:$A$125,0))</f>
        <v>High</v>
      </c>
      <c r="O62" s="39" t="str">
        <f aca="false">INDEX('Recurring Budgets'!$Q$2:$Q$125,MATCH(P62,'Recurring Budgets'!$A$2:$A$125,0))</f>
        <v>Weekly bookkeeping/settlement time ÷ weeks per month. Sep 2026 excluded (Christine out of time, not less work).</v>
      </c>
      <c r="P62" s="2" t="s">
        <v>341</v>
      </c>
    </row>
    <row r="63" customFormat="false" ht="15" hidden="false" customHeight="false" outlineLevel="0" collapsed="false">
      <c r="A63" s="2" t="s">
        <v>43</v>
      </c>
      <c r="B63" s="2" t="s">
        <v>492</v>
      </c>
      <c r="C63" s="2" t="s">
        <v>242</v>
      </c>
      <c r="D63" s="59" t="n">
        <v>46311</v>
      </c>
      <c r="E63" s="2" t="s">
        <v>493</v>
      </c>
      <c r="F63" s="2" t="s">
        <v>495</v>
      </c>
      <c r="G63" s="2" t="s">
        <v>15</v>
      </c>
      <c r="H63" s="2" t="s">
        <v>487</v>
      </c>
      <c r="I63" s="45" t="n">
        <f aca="false">INDEX('Recurring Budgets'!$F$2:$F$125,MATCH(P63,'Recurring Budgets'!$A$2:$A$125,0))</f>
        <v>22.1667</v>
      </c>
      <c r="J63" s="45" t="n">
        <f aca="false">INDEX('Recurring Budgets'!$G$2:$G$125,MATCH(P63,'Recurring Budgets'!$A$2:$A$125,0))</f>
        <v>1.5</v>
      </c>
      <c r="K63" s="50" t="n">
        <f aca="false">I63+J63</f>
        <v>23.6667</v>
      </c>
      <c r="L63" s="2" t="n">
        <f aca="false">ROUND(K63*60,0)</f>
        <v>1420</v>
      </c>
      <c r="M63" s="51" t="n">
        <f aca="false">INDEX('Recurring Budgets'!$M$2:$M$125,MATCH(P63,'Recurring Budgets'!$A$2:$A$125,0))</f>
        <v>2480.8365</v>
      </c>
      <c r="N63" s="39" t="str">
        <f aca="false">INDEX('Recurring Budgets'!$P$2:$P$125,MATCH(P63,'Recurring Budgets'!$A$2:$A$125,0))</f>
        <v>High</v>
      </c>
      <c r="O63" s="39" t="str">
        <f aca="false">INDEX('Recurring Budgets'!$Q$2:$Q$125,MATCH(P63,'Recurring Budgets'!$A$2:$A$125,0))</f>
        <v>Includes Month-end 8.3, Payroll 9.4, CFO advisory 1.1. Sep 2026 excluded (Christine out of time, not less work). Review = median of 10 closes reviewed in Harvest (1.50h).</v>
      </c>
      <c r="P63" s="2" t="s">
        <v>339</v>
      </c>
    </row>
    <row r="64" customFormat="false" ht="15" hidden="false" customHeight="false" outlineLevel="0" collapsed="false">
      <c r="A64" s="2" t="s">
        <v>43</v>
      </c>
      <c r="B64" s="2" t="s">
        <v>237</v>
      </c>
      <c r="C64" s="2" t="s">
        <v>170</v>
      </c>
      <c r="D64" s="59" t="n">
        <v>46325</v>
      </c>
      <c r="E64" s="2" t="s">
        <v>488</v>
      </c>
      <c r="F64" s="2" t="s">
        <v>489</v>
      </c>
      <c r="G64" s="2" t="s">
        <v>170</v>
      </c>
      <c r="H64" s="2" t="s">
        <v>490</v>
      </c>
      <c r="I64" s="45" t="n">
        <f aca="false">INDEX('1099 Oct 30'!$F$5:$F$45,MATCH(P64,'1099 Oct 30'!$A$5:$A$45,0))</f>
        <v>2</v>
      </c>
      <c r="J64" s="44" t="n">
        <v>0</v>
      </c>
      <c r="K64" s="50" t="n">
        <f aca="false">I64+J64</f>
        <v>2</v>
      </c>
      <c r="L64" s="2" t="n">
        <f aca="false">ROUND(K64*60,0)</f>
        <v>120</v>
      </c>
      <c r="M64" s="51" t="n">
        <f aca="false">I64*Assumptions!$B$4</f>
        <v>190</v>
      </c>
      <c r="N64" s="52" t="s">
        <v>238</v>
      </c>
      <c r="O64" s="2" t="s">
        <v>491</v>
      </c>
      <c r="P64" s="2" t="s">
        <v>43</v>
      </c>
    </row>
    <row r="65" customFormat="false" ht="15" hidden="false" customHeight="false" outlineLevel="0" collapsed="false">
      <c r="A65" s="2" t="s">
        <v>45</v>
      </c>
      <c r="B65" s="2" t="s">
        <v>116</v>
      </c>
      <c r="C65" s="2" t="s">
        <v>242</v>
      </c>
      <c r="D65" s="59" t="n">
        <v>46304</v>
      </c>
      <c r="E65" s="2" t="s">
        <v>485</v>
      </c>
      <c r="F65" s="2" t="s">
        <v>495</v>
      </c>
      <c r="G65" s="2" t="s">
        <v>108</v>
      </c>
      <c r="H65" s="2" t="s">
        <v>505</v>
      </c>
      <c r="I65" s="44" t="n">
        <v>3</v>
      </c>
      <c r="J65" s="44" t="n">
        <v>0</v>
      </c>
      <c r="K65" s="50" t="n">
        <f aca="false">I65+J65</f>
        <v>3</v>
      </c>
      <c r="L65" s="2" t="n">
        <f aca="false">ROUND(K65*60,0)</f>
        <v>180</v>
      </c>
      <c r="M65" s="51" t="n">
        <f aca="false">I65*Assumptions!$B$4+J65*Assumptions!$B$5</f>
        <v>285</v>
      </c>
      <c r="N65" s="52" t="s">
        <v>238</v>
      </c>
      <c r="O65" s="2" t="s">
        <v>516</v>
      </c>
      <c r="P65" s="2"/>
    </row>
    <row r="66" customFormat="false" ht="15" hidden="false" customHeight="false" outlineLevel="0" collapsed="false">
      <c r="A66" s="2" t="s">
        <v>45</v>
      </c>
      <c r="B66" s="2" t="s">
        <v>237</v>
      </c>
      <c r="C66" s="2" t="s">
        <v>170</v>
      </c>
      <c r="D66" s="59" t="n">
        <v>46325</v>
      </c>
      <c r="E66" s="2" t="s">
        <v>488</v>
      </c>
      <c r="F66" s="2" t="s">
        <v>489</v>
      </c>
      <c r="G66" s="2" t="s">
        <v>170</v>
      </c>
      <c r="H66" s="2" t="s">
        <v>490</v>
      </c>
      <c r="I66" s="45" t="n">
        <f aca="false">INDEX('1099 Oct 30'!$F$5:$F$45,MATCH(P66,'1099 Oct 30'!$A$5:$A$45,0))</f>
        <v>4</v>
      </c>
      <c r="J66" s="44" t="n">
        <v>0</v>
      </c>
      <c r="K66" s="50" t="n">
        <f aca="false">I66+J66</f>
        <v>4</v>
      </c>
      <c r="L66" s="2" t="n">
        <f aca="false">ROUND(K66*60,0)</f>
        <v>240</v>
      </c>
      <c r="M66" s="51" t="n">
        <f aca="false">I66*Assumptions!$B$4</f>
        <v>380</v>
      </c>
      <c r="N66" s="52" t="s">
        <v>238</v>
      </c>
      <c r="O66" s="2" t="s">
        <v>491</v>
      </c>
      <c r="P66" s="2" t="s">
        <v>45</v>
      </c>
    </row>
    <row r="67" customFormat="false" ht="15" hidden="false" customHeight="false" outlineLevel="0" collapsed="false">
      <c r="A67" s="2" t="s">
        <v>46</v>
      </c>
      <c r="B67" s="2" t="s">
        <v>517</v>
      </c>
      <c r="C67" s="2" t="s">
        <v>254</v>
      </c>
      <c r="D67" s="59" t="n">
        <v>46248</v>
      </c>
      <c r="E67" s="2" t="s">
        <v>498</v>
      </c>
      <c r="F67" s="2" t="s">
        <v>504</v>
      </c>
      <c r="G67" s="2" t="s">
        <v>21</v>
      </c>
      <c r="H67" s="2" t="s">
        <v>487</v>
      </c>
      <c r="I67" s="45" t="n">
        <f aca="false">INDEX('Recurring Budgets'!$F$2:$F$125,MATCH(P67,'Recurring Budgets'!$A$2:$A$125,0))</f>
        <v>0.3333</v>
      </c>
      <c r="J67" s="45" t="n">
        <f aca="false">INDEX('Recurring Budgets'!$G$2:$G$125,MATCH(P67,'Recurring Budgets'!$A$2:$A$125,0))</f>
        <v>0</v>
      </c>
      <c r="K67" s="50" t="n">
        <f aca="false">I67+J67</f>
        <v>0.3333</v>
      </c>
      <c r="L67" s="2" t="n">
        <f aca="false">ROUND(K67*60,0)</f>
        <v>20</v>
      </c>
      <c r="M67" s="51" t="n">
        <f aca="false">INDEX('Recurring Budgets'!$M$2:$M$125,MATCH(P67,'Recurring Budgets'!$A$2:$A$125,0))</f>
        <v>31.6635</v>
      </c>
      <c r="N67" s="39" t="str">
        <f aca="false">INDEX('Recurring Budgets'!$P$2:$P$125,MATCH(P67,'Recurring Budgets'!$A$2:$A$125,0))</f>
        <v>High</v>
      </c>
      <c r="O67" s="39" t="str">
        <f aca="false">INDEX('Recurring Budgets'!$Q$2:$Q$125,MATCH(P67,'Recurring Budgets'!$A$2:$A$125,0))</f>
        <v>Year-end/tax hours Oct 2025–Sep 2026 (0.8h) split across 2 year-end items.</v>
      </c>
      <c r="P67" s="2" t="s">
        <v>347</v>
      </c>
    </row>
    <row r="68" customFormat="false" ht="15" hidden="false" customHeight="false" outlineLevel="0" collapsed="false">
      <c r="A68" s="2" t="s">
        <v>46</v>
      </c>
      <c r="B68" s="2" t="s">
        <v>494</v>
      </c>
      <c r="C68" s="2" t="s">
        <v>248</v>
      </c>
      <c r="D68" s="59" t="n">
        <v>46321</v>
      </c>
      <c r="E68" s="2" t="s">
        <v>499</v>
      </c>
      <c r="F68" s="2" t="s">
        <v>495</v>
      </c>
      <c r="G68" s="2" t="s">
        <v>13</v>
      </c>
      <c r="H68" s="2" t="s">
        <v>487</v>
      </c>
      <c r="I68" s="45" t="n">
        <f aca="false">INDEX('Recurring Budgets'!$F$2:$F$125,MATCH(P68,'Recurring Budgets'!$A$2:$A$125,0))</f>
        <v>18.5833</v>
      </c>
      <c r="J68" s="45" t="n">
        <f aca="false">INDEX('Recurring Budgets'!$G$2:$G$125,MATCH(P68,'Recurring Budgets'!$A$2:$A$125,0))</f>
        <v>1.5</v>
      </c>
      <c r="K68" s="50" t="n">
        <f aca="false">I68+J68</f>
        <v>20.0833</v>
      </c>
      <c r="L68" s="2" t="n">
        <f aca="false">ROUND(K68*60,0)</f>
        <v>1205</v>
      </c>
      <c r="M68" s="51" t="n">
        <f aca="false">INDEX('Recurring Budgets'!$M$2:$M$125,MATCH(P68,'Recurring Budgets'!$A$2:$A$125,0))</f>
        <v>2140.4135</v>
      </c>
      <c r="N68" s="39" t="str">
        <f aca="false">INDEX('Recurring Budgets'!$P$2:$P$125,MATCH(P68,'Recurring Budgets'!$A$2:$A$125,0))</f>
        <v>High</v>
      </c>
      <c r="O68" s="39" t="str">
        <f aca="false">INDEX('Recurring Budgets'!$Q$2:$Q$125,MATCH(P68,'Recurring Budgets'!$A$2:$A$125,0))</f>
        <v>Includes Month-end 10.4, Bookkeeping 7.8, CFO advisory 0.7. Review = 0.25h as logged (only 1 reviewed close(s) in Harvest – check). Quarterly review from history: Q3 2025 Lisa 1.0 first pass + 0.5 complete = 1.5h; Jan–Jun 2024 review ~1.5h.</v>
      </c>
      <c r="P68" s="2" t="s">
        <v>348</v>
      </c>
    </row>
    <row r="69" customFormat="false" ht="15" hidden="false" customHeight="false" outlineLevel="0" collapsed="false">
      <c r="A69" s="2" t="s">
        <v>46</v>
      </c>
      <c r="B69" s="2" t="s">
        <v>237</v>
      </c>
      <c r="C69" s="2" t="s">
        <v>170</v>
      </c>
      <c r="D69" s="59" t="n">
        <v>46325</v>
      </c>
      <c r="E69" s="2" t="s">
        <v>488</v>
      </c>
      <c r="F69" s="2" t="s">
        <v>489</v>
      </c>
      <c r="G69" s="2" t="s">
        <v>170</v>
      </c>
      <c r="H69" s="2" t="s">
        <v>490</v>
      </c>
      <c r="I69" s="45" t="n">
        <f aca="false">INDEX('1099 Oct 30'!$F$5:$F$45,MATCH(P69,'1099 Oct 30'!$A$5:$A$45,0))</f>
        <v>1.5</v>
      </c>
      <c r="J69" s="44" t="n">
        <v>0</v>
      </c>
      <c r="K69" s="50" t="n">
        <f aca="false">I69+J69</f>
        <v>1.5</v>
      </c>
      <c r="L69" s="2" t="n">
        <f aca="false">ROUND(K69*60,0)</f>
        <v>90</v>
      </c>
      <c r="M69" s="51" t="n">
        <f aca="false">I69*Assumptions!$B$4</f>
        <v>142.5</v>
      </c>
      <c r="N69" s="52" t="s">
        <v>238</v>
      </c>
      <c r="O69" s="2" t="s">
        <v>491</v>
      </c>
      <c r="P69" s="2" t="s">
        <v>46</v>
      </c>
    </row>
    <row r="70" customFormat="false" ht="15" hidden="false" customHeight="false" outlineLevel="0" collapsed="false">
      <c r="A70" s="2" t="s">
        <v>46</v>
      </c>
      <c r="B70" s="2" t="s">
        <v>518</v>
      </c>
      <c r="C70" s="2" t="s">
        <v>282</v>
      </c>
      <c r="D70" s="59" t="n">
        <v>46325</v>
      </c>
      <c r="E70" s="2" t="s">
        <v>503</v>
      </c>
      <c r="F70" s="2" t="s">
        <v>504</v>
      </c>
      <c r="G70" s="2" t="s">
        <v>21</v>
      </c>
      <c r="H70" s="2" t="s">
        <v>487</v>
      </c>
      <c r="I70" s="45" t="n">
        <f aca="false">INDEX('Recurring Budgets'!$F$2:$F$125,MATCH(P70,'Recurring Budgets'!$A$2:$A$125,0))</f>
        <v>0.3333</v>
      </c>
      <c r="J70" s="45" t="n">
        <f aca="false">INDEX('Recurring Budgets'!$G$2:$G$125,MATCH(P70,'Recurring Budgets'!$A$2:$A$125,0))</f>
        <v>0</v>
      </c>
      <c r="K70" s="50" t="n">
        <f aca="false">I70+J70</f>
        <v>0.3333</v>
      </c>
      <c r="L70" s="2" t="n">
        <f aca="false">ROUND(K70*60,0)</f>
        <v>20</v>
      </c>
      <c r="M70" s="51" t="n">
        <f aca="false">INDEX('Recurring Budgets'!$M$2:$M$125,MATCH(P70,'Recurring Budgets'!$A$2:$A$125,0))</f>
        <v>31.6635</v>
      </c>
      <c r="N70" s="39" t="str">
        <f aca="false">INDEX('Recurring Budgets'!$P$2:$P$125,MATCH(P70,'Recurring Budgets'!$A$2:$A$125,0))</f>
        <v>High</v>
      </c>
      <c r="O70" s="39" t="str">
        <f aca="false">INDEX('Recurring Budgets'!$Q$2:$Q$125,MATCH(P70,'Recurring Budgets'!$A$2:$A$125,0))</f>
        <v>Year-end/tax hours Oct 2025–Sep 2026 (0.8h) split across 2 year-end items.</v>
      </c>
      <c r="P70" s="2" t="s">
        <v>345</v>
      </c>
    </row>
    <row r="71" customFormat="false" ht="15" hidden="false" customHeight="false" outlineLevel="0" collapsed="false">
      <c r="A71" s="2" t="s">
        <v>213</v>
      </c>
      <c r="B71" s="2" t="s">
        <v>101</v>
      </c>
      <c r="C71" s="2" t="s">
        <v>242</v>
      </c>
      <c r="D71" s="59" t="n">
        <v>46219</v>
      </c>
      <c r="E71" s="2" t="s">
        <v>498</v>
      </c>
      <c r="F71" s="2" t="s">
        <v>486</v>
      </c>
      <c r="G71" s="2" t="s">
        <v>15</v>
      </c>
      <c r="H71" s="2" t="s">
        <v>329</v>
      </c>
      <c r="I71" s="50"/>
      <c r="J71" s="50"/>
      <c r="K71" s="50"/>
      <c r="L71" s="2"/>
      <c r="M71" s="57"/>
      <c r="N71" s="58" t="s">
        <v>329</v>
      </c>
      <c r="O71" s="2" t="s">
        <v>351</v>
      </c>
      <c r="P71" s="2"/>
    </row>
    <row r="72" customFormat="false" ht="15" hidden="false" customHeight="false" outlineLevel="0" collapsed="false">
      <c r="A72" s="2" t="s">
        <v>213</v>
      </c>
      <c r="B72" s="2" t="s">
        <v>360</v>
      </c>
      <c r="C72" s="2" t="s">
        <v>251</v>
      </c>
      <c r="D72" s="59" t="n">
        <v>46224</v>
      </c>
      <c r="E72" s="2" t="s">
        <v>503</v>
      </c>
      <c r="F72" s="2" t="s">
        <v>511</v>
      </c>
      <c r="G72" s="2" t="s">
        <v>13</v>
      </c>
      <c r="H72" s="2" t="s">
        <v>329</v>
      </c>
      <c r="I72" s="50"/>
      <c r="J72" s="50"/>
      <c r="K72" s="50"/>
      <c r="L72" s="2"/>
      <c r="M72" s="57"/>
      <c r="N72" s="58" t="s">
        <v>329</v>
      </c>
      <c r="O72" s="2" t="s">
        <v>351</v>
      </c>
      <c r="P72" s="2"/>
    </row>
    <row r="73" customFormat="false" ht="15" hidden="false" customHeight="false" outlineLevel="0" collapsed="false">
      <c r="A73" s="2" t="s">
        <v>213</v>
      </c>
      <c r="B73" s="2" t="s">
        <v>102</v>
      </c>
      <c r="C73" s="2" t="s">
        <v>242</v>
      </c>
      <c r="D73" s="59" t="n">
        <v>46248</v>
      </c>
      <c r="E73" s="2" t="s">
        <v>498</v>
      </c>
      <c r="F73" s="2" t="s">
        <v>486</v>
      </c>
      <c r="G73" s="2" t="s">
        <v>15</v>
      </c>
      <c r="H73" s="2" t="s">
        <v>329</v>
      </c>
      <c r="I73" s="50"/>
      <c r="J73" s="50"/>
      <c r="K73" s="50"/>
      <c r="L73" s="2"/>
      <c r="M73" s="57"/>
      <c r="N73" s="58" t="s">
        <v>329</v>
      </c>
      <c r="O73" s="2" t="s">
        <v>351</v>
      </c>
      <c r="P73" s="2"/>
    </row>
    <row r="74" customFormat="false" ht="15" hidden="false" customHeight="false" outlineLevel="0" collapsed="false">
      <c r="A74" s="2" t="s">
        <v>213</v>
      </c>
      <c r="B74" s="2" t="s">
        <v>519</v>
      </c>
      <c r="C74" s="2" t="s">
        <v>287</v>
      </c>
      <c r="D74" s="59" t="n">
        <v>46273</v>
      </c>
      <c r="E74" s="2" t="s">
        <v>503</v>
      </c>
      <c r="F74" s="2" t="s">
        <v>511</v>
      </c>
      <c r="G74" s="2" t="s">
        <v>108</v>
      </c>
      <c r="H74" s="2" t="s">
        <v>329</v>
      </c>
      <c r="I74" s="50"/>
      <c r="J74" s="50"/>
      <c r="K74" s="50"/>
      <c r="L74" s="2"/>
      <c r="M74" s="57"/>
      <c r="N74" s="58" t="s">
        <v>329</v>
      </c>
      <c r="O74" s="2" t="s">
        <v>351</v>
      </c>
      <c r="P74" s="2"/>
    </row>
    <row r="75" customFormat="false" ht="15" hidden="false" customHeight="false" outlineLevel="0" collapsed="false">
      <c r="A75" s="2" t="s">
        <v>213</v>
      </c>
      <c r="B75" s="2" t="s">
        <v>484</v>
      </c>
      <c r="C75" s="2" t="s">
        <v>242</v>
      </c>
      <c r="D75" s="59" t="n">
        <v>46281</v>
      </c>
      <c r="E75" s="2" t="s">
        <v>499</v>
      </c>
      <c r="F75" s="2" t="s">
        <v>511</v>
      </c>
      <c r="G75" s="2" t="s">
        <v>15</v>
      </c>
      <c r="H75" s="2" t="s">
        <v>329</v>
      </c>
      <c r="I75" s="50"/>
      <c r="J75" s="50"/>
      <c r="K75" s="50"/>
      <c r="L75" s="2"/>
      <c r="M75" s="57"/>
      <c r="N75" s="58" t="s">
        <v>329</v>
      </c>
      <c r="O75" s="2" t="s">
        <v>351</v>
      </c>
      <c r="P75" s="2"/>
    </row>
    <row r="76" customFormat="false" ht="15" hidden="false" customHeight="false" outlineLevel="0" collapsed="false">
      <c r="A76" s="2" t="s">
        <v>213</v>
      </c>
      <c r="B76" s="2" t="s">
        <v>520</v>
      </c>
      <c r="C76" s="2" t="s">
        <v>251</v>
      </c>
      <c r="D76" s="59" t="n">
        <v>46283</v>
      </c>
      <c r="E76" s="2" t="s">
        <v>499</v>
      </c>
      <c r="F76" s="2" t="s">
        <v>511</v>
      </c>
      <c r="G76" s="2" t="s">
        <v>15</v>
      </c>
      <c r="H76" s="2" t="s">
        <v>329</v>
      </c>
      <c r="I76" s="50"/>
      <c r="J76" s="50"/>
      <c r="K76" s="50"/>
      <c r="L76" s="2"/>
      <c r="M76" s="57"/>
      <c r="N76" s="58" t="s">
        <v>329</v>
      </c>
      <c r="O76" s="2" t="s">
        <v>351</v>
      </c>
      <c r="P76" s="2"/>
    </row>
    <row r="77" customFormat="false" ht="15" hidden="false" customHeight="false" outlineLevel="0" collapsed="false">
      <c r="A77" s="2" t="s">
        <v>213</v>
      </c>
      <c r="B77" s="2" t="s">
        <v>521</v>
      </c>
      <c r="C77" s="2" t="s">
        <v>248</v>
      </c>
      <c r="D77" s="59" t="n">
        <v>46293</v>
      </c>
      <c r="E77" s="2" t="s">
        <v>503</v>
      </c>
      <c r="F77" s="2" t="s">
        <v>504</v>
      </c>
      <c r="G77" s="2" t="s">
        <v>108</v>
      </c>
      <c r="H77" s="2" t="s">
        <v>329</v>
      </c>
      <c r="I77" s="50"/>
      <c r="J77" s="50"/>
      <c r="K77" s="50"/>
      <c r="L77" s="2"/>
      <c r="M77" s="57"/>
      <c r="N77" s="58" t="s">
        <v>329</v>
      </c>
      <c r="O77" s="2" t="s">
        <v>351</v>
      </c>
      <c r="P77" s="2"/>
    </row>
    <row r="78" customFormat="false" ht="15" hidden="false" customHeight="false" outlineLevel="0" collapsed="false">
      <c r="A78" s="2" t="s">
        <v>213</v>
      </c>
      <c r="B78" s="2" t="s">
        <v>522</v>
      </c>
      <c r="C78" s="2" t="s">
        <v>248</v>
      </c>
      <c r="D78" s="59" t="n">
        <v>46295</v>
      </c>
      <c r="E78" s="2" t="s">
        <v>503</v>
      </c>
      <c r="F78" s="2" t="s">
        <v>495</v>
      </c>
      <c r="G78" s="2" t="s">
        <v>30</v>
      </c>
      <c r="H78" s="2" t="s">
        <v>329</v>
      </c>
      <c r="I78" s="50"/>
      <c r="J78" s="50"/>
      <c r="K78" s="50"/>
      <c r="L78" s="2"/>
      <c r="M78" s="57"/>
      <c r="N78" s="58" t="s">
        <v>329</v>
      </c>
      <c r="O78" s="2" t="s">
        <v>351</v>
      </c>
      <c r="P78" s="2"/>
    </row>
    <row r="79" customFormat="false" ht="15" hidden="false" customHeight="false" outlineLevel="0" collapsed="false">
      <c r="A79" s="2" t="s">
        <v>213</v>
      </c>
      <c r="B79" s="2" t="s">
        <v>523</v>
      </c>
      <c r="C79" s="2" t="s">
        <v>248</v>
      </c>
      <c r="D79" s="59" t="n">
        <v>46302</v>
      </c>
      <c r="E79" s="2" t="s">
        <v>493</v>
      </c>
      <c r="F79" s="2" t="s">
        <v>489</v>
      </c>
      <c r="G79" s="2" t="s">
        <v>30</v>
      </c>
      <c r="H79" s="2" t="s">
        <v>329</v>
      </c>
      <c r="I79" s="50"/>
      <c r="J79" s="50"/>
      <c r="K79" s="50"/>
      <c r="L79" s="2"/>
      <c r="M79" s="57"/>
      <c r="N79" s="58" t="s">
        <v>329</v>
      </c>
      <c r="O79" s="2" t="s">
        <v>351</v>
      </c>
      <c r="P79" s="2"/>
    </row>
    <row r="80" customFormat="false" ht="15" hidden="false" customHeight="false" outlineLevel="0" collapsed="false">
      <c r="A80" s="2" t="s">
        <v>213</v>
      </c>
      <c r="B80" s="2" t="s">
        <v>524</v>
      </c>
      <c r="C80" s="2" t="s">
        <v>287</v>
      </c>
      <c r="D80" s="59" t="n">
        <v>46303</v>
      </c>
      <c r="E80" s="2" t="s">
        <v>493</v>
      </c>
      <c r="F80" s="2" t="s">
        <v>504</v>
      </c>
      <c r="G80" s="2" t="s">
        <v>108</v>
      </c>
      <c r="H80" s="2" t="s">
        <v>329</v>
      </c>
      <c r="I80" s="50"/>
      <c r="J80" s="50"/>
      <c r="K80" s="50"/>
      <c r="L80" s="2"/>
      <c r="M80" s="57"/>
      <c r="N80" s="58" t="s">
        <v>329</v>
      </c>
      <c r="O80" s="2" t="s">
        <v>351</v>
      </c>
      <c r="P80" s="2"/>
    </row>
    <row r="81" customFormat="false" ht="15" hidden="false" customHeight="false" outlineLevel="0" collapsed="false">
      <c r="A81" s="2" t="s">
        <v>213</v>
      </c>
      <c r="B81" s="2" t="s">
        <v>358</v>
      </c>
      <c r="C81" s="2" t="s">
        <v>248</v>
      </c>
      <c r="D81" s="59" t="n">
        <v>46310</v>
      </c>
      <c r="E81" s="2" t="s">
        <v>525</v>
      </c>
      <c r="F81" s="2" t="s">
        <v>511</v>
      </c>
      <c r="G81" s="2" t="s">
        <v>13</v>
      </c>
      <c r="H81" s="2" t="s">
        <v>329</v>
      </c>
      <c r="I81" s="50"/>
      <c r="J81" s="50"/>
      <c r="K81" s="50"/>
      <c r="L81" s="2"/>
      <c r="M81" s="57"/>
      <c r="N81" s="58" t="s">
        <v>329</v>
      </c>
      <c r="O81" s="2" t="s">
        <v>351</v>
      </c>
      <c r="P81" s="2"/>
    </row>
    <row r="82" customFormat="false" ht="15" hidden="false" customHeight="false" outlineLevel="0" collapsed="false">
      <c r="A82" s="2" t="s">
        <v>213</v>
      </c>
      <c r="B82" s="2" t="s">
        <v>60</v>
      </c>
      <c r="C82" s="2" t="s">
        <v>251</v>
      </c>
      <c r="D82" s="59" t="n">
        <v>46310</v>
      </c>
      <c r="E82" s="2" t="s">
        <v>499</v>
      </c>
      <c r="F82" s="2" t="s">
        <v>489</v>
      </c>
      <c r="G82" s="2" t="s">
        <v>13</v>
      </c>
      <c r="H82" s="2" t="s">
        <v>329</v>
      </c>
      <c r="I82" s="50"/>
      <c r="J82" s="50"/>
      <c r="K82" s="50"/>
      <c r="L82" s="2"/>
      <c r="M82" s="57"/>
      <c r="N82" s="58" t="s">
        <v>329</v>
      </c>
      <c r="O82" s="2" t="s">
        <v>351</v>
      </c>
      <c r="P82" s="2"/>
    </row>
    <row r="83" customFormat="false" ht="15" hidden="false" customHeight="false" outlineLevel="0" collapsed="false">
      <c r="A83" s="2" t="s">
        <v>213</v>
      </c>
      <c r="B83" s="2" t="s">
        <v>526</v>
      </c>
      <c r="C83" s="2" t="s">
        <v>251</v>
      </c>
      <c r="D83" s="59" t="n">
        <v>46310</v>
      </c>
      <c r="E83" s="2" t="s">
        <v>493</v>
      </c>
      <c r="F83" s="2" t="s">
        <v>489</v>
      </c>
      <c r="G83" s="2" t="s">
        <v>15</v>
      </c>
      <c r="H83" s="2" t="s">
        <v>329</v>
      </c>
      <c r="I83" s="50"/>
      <c r="J83" s="50"/>
      <c r="K83" s="50"/>
      <c r="L83" s="2"/>
      <c r="M83" s="57"/>
      <c r="N83" s="58" t="s">
        <v>329</v>
      </c>
      <c r="O83" s="2" t="s">
        <v>351</v>
      </c>
      <c r="P83" s="2"/>
    </row>
    <row r="84" customFormat="false" ht="15" hidden="false" customHeight="false" outlineLevel="0" collapsed="false">
      <c r="A84" s="2" t="s">
        <v>213</v>
      </c>
      <c r="B84" s="2" t="s">
        <v>492</v>
      </c>
      <c r="C84" s="2" t="s">
        <v>242</v>
      </c>
      <c r="D84" s="59" t="n">
        <v>46311</v>
      </c>
      <c r="E84" s="2" t="s">
        <v>499</v>
      </c>
      <c r="F84" s="2" t="s">
        <v>495</v>
      </c>
      <c r="G84" s="2" t="s">
        <v>15</v>
      </c>
      <c r="H84" s="2" t="s">
        <v>329</v>
      </c>
      <c r="I84" s="50"/>
      <c r="J84" s="50"/>
      <c r="K84" s="50"/>
      <c r="L84" s="2"/>
      <c r="M84" s="57"/>
      <c r="N84" s="58" t="s">
        <v>329</v>
      </c>
      <c r="O84" s="2" t="s">
        <v>351</v>
      </c>
      <c r="P84" s="2"/>
    </row>
    <row r="85" customFormat="false" ht="15" hidden="false" customHeight="false" outlineLevel="0" collapsed="false">
      <c r="A85" s="2" t="s">
        <v>213</v>
      </c>
      <c r="B85" s="2" t="s">
        <v>237</v>
      </c>
      <c r="C85" s="2" t="s">
        <v>170</v>
      </c>
      <c r="D85" s="59" t="n">
        <v>46325</v>
      </c>
      <c r="E85" s="2" t="s">
        <v>488</v>
      </c>
      <c r="F85" s="2" t="s">
        <v>489</v>
      </c>
      <c r="G85" s="2" t="s">
        <v>170</v>
      </c>
      <c r="H85" s="2" t="s">
        <v>329</v>
      </c>
      <c r="I85" s="50"/>
      <c r="J85" s="50"/>
      <c r="K85" s="50"/>
      <c r="L85" s="2"/>
      <c r="M85" s="57"/>
      <c r="N85" s="58" t="s">
        <v>329</v>
      </c>
      <c r="O85" s="2" t="s">
        <v>351</v>
      </c>
      <c r="P85" s="2"/>
    </row>
    <row r="86" customFormat="false" ht="15" hidden="false" customHeight="false" outlineLevel="0" collapsed="false">
      <c r="A86" s="2" t="s">
        <v>213</v>
      </c>
      <c r="B86" s="2" t="s">
        <v>527</v>
      </c>
      <c r="C86" s="2" t="s">
        <v>282</v>
      </c>
      <c r="D86" s="59" t="n">
        <v>46325</v>
      </c>
      <c r="E86" s="2" t="s">
        <v>498</v>
      </c>
      <c r="F86" s="2" t="s">
        <v>504</v>
      </c>
      <c r="G86" s="2" t="s">
        <v>21</v>
      </c>
      <c r="H86" s="2" t="s">
        <v>329</v>
      </c>
      <c r="I86" s="50"/>
      <c r="J86" s="50"/>
      <c r="K86" s="50"/>
      <c r="L86" s="2"/>
      <c r="M86" s="57"/>
      <c r="N86" s="58" t="s">
        <v>329</v>
      </c>
      <c r="O86" s="2" t="s">
        <v>351</v>
      </c>
      <c r="P86" s="2"/>
    </row>
    <row r="87" customFormat="false" ht="15" hidden="false" customHeight="false" outlineLevel="0" collapsed="false">
      <c r="A87" s="2" t="s">
        <v>47</v>
      </c>
      <c r="B87" s="2" t="s">
        <v>492</v>
      </c>
      <c r="C87" s="2" t="s">
        <v>242</v>
      </c>
      <c r="D87" s="59" t="n">
        <v>46301</v>
      </c>
      <c r="E87" s="2" t="s">
        <v>499</v>
      </c>
      <c r="F87" s="2" t="s">
        <v>495</v>
      </c>
      <c r="G87" s="2" t="s">
        <v>15</v>
      </c>
      <c r="H87" s="2" t="s">
        <v>487</v>
      </c>
      <c r="I87" s="45" t="n">
        <f aca="false">INDEX('Recurring Budgets'!$F$2:$F$125,MATCH(P87,'Recurring Budgets'!$A$2:$A$125,0))</f>
        <v>0.5</v>
      </c>
      <c r="J87" s="45" t="n">
        <f aca="false">INDEX('Recurring Budgets'!$G$2:$G$125,MATCH(P87,'Recurring Budgets'!$A$2:$A$125,0))</f>
        <v>0.3833</v>
      </c>
      <c r="K87" s="50" t="n">
        <f aca="false">I87+J87</f>
        <v>0.8833</v>
      </c>
      <c r="L87" s="2" t="n">
        <f aca="false">ROUND(K87*60,0)</f>
        <v>53</v>
      </c>
      <c r="M87" s="51" t="n">
        <f aca="false">INDEX('Recurring Budgets'!$M$2:$M$125,MATCH(P87,'Recurring Budgets'!$A$2:$A$125,0))</f>
        <v>143.325</v>
      </c>
      <c r="N87" s="39" t="str">
        <f aca="false">INDEX('Recurring Budgets'!$P$2:$P$125,MATCH(P87,'Recurring Budgets'!$A$2:$A$125,0))</f>
        <v>Medium</v>
      </c>
      <c r="O87" s="39" t="str">
        <f aca="false">INDEX('Recurring Budgets'!$Q$2:$Q$125,MATCH(P87,'Recurring Budgets'!$A$2:$A$125,0))</f>
        <v>Josephine's Apr–May 2026 closes + allowance for a new person (Valentina's hours not used). Review = median of 8 closes reviewed in Harvest (0.38h).</v>
      </c>
      <c r="P87" s="2" t="s">
        <v>364</v>
      </c>
    </row>
    <row r="88" customFormat="false" ht="15" hidden="false" customHeight="false" outlineLevel="0" collapsed="false">
      <c r="A88" s="2" t="s">
        <v>47</v>
      </c>
      <c r="B88" s="2" t="s">
        <v>237</v>
      </c>
      <c r="C88" s="2" t="s">
        <v>170</v>
      </c>
      <c r="D88" s="59" t="n">
        <v>46325</v>
      </c>
      <c r="E88" s="2" t="s">
        <v>488</v>
      </c>
      <c r="F88" s="2" t="s">
        <v>489</v>
      </c>
      <c r="G88" s="2" t="s">
        <v>170</v>
      </c>
      <c r="H88" s="2" t="s">
        <v>490</v>
      </c>
      <c r="I88" s="45" t="n">
        <f aca="false">INDEX('1099 Oct 30'!$F$5:$F$45,MATCH(P88,'1099 Oct 30'!$A$5:$A$45,0))</f>
        <v>0.375</v>
      </c>
      <c r="J88" s="44" t="n">
        <v>0</v>
      </c>
      <c r="K88" s="50" t="n">
        <f aca="false">I88+J88</f>
        <v>0.375</v>
      </c>
      <c r="L88" s="2" t="n">
        <f aca="false">ROUND(K88*60,0)</f>
        <v>23</v>
      </c>
      <c r="M88" s="51" t="n">
        <f aca="false">I88*Assumptions!$B$4</f>
        <v>35.625</v>
      </c>
      <c r="N88" s="52" t="s">
        <v>238</v>
      </c>
      <c r="O88" s="2" t="s">
        <v>491</v>
      </c>
      <c r="P88" s="2" t="s">
        <v>47</v>
      </c>
    </row>
    <row r="89" customFormat="false" ht="15" hidden="false" customHeight="false" outlineLevel="0" collapsed="false">
      <c r="A89" s="2" t="s">
        <v>117</v>
      </c>
      <c r="B89" s="2" t="s">
        <v>118</v>
      </c>
      <c r="C89" s="2" t="s">
        <v>502</v>
      </c>
      <c r="D89" s="59" t="n">
        <v>46290</v>
      </c>
      <c r="E89" s="2" t="s">
        <v>503</v>
      </c>
      <c r="F89" s="2" t="s">
        <v>504</v>
      </c>
      <c r="G89" s="2" t="s">
        <v>108</v>
      </c>
      <c r="H89" s="2" t="s">
        <v>505</v>
      </c>
      <c r="I89" s="44" t="n">
        <v>5.5</v>
      </c>
      <c r="J89" s="44" t="n">
        <v>0</v>
      </c>
      <c r="K89" s="50" t="n">
        <f aca="false">I89+J89</f>
        <v>5.5</v>
      </c>
      <c r="L89" s="2" t="n">
        <f aca="false">ROUND(K89*60,0)</f>
        <v>330</v>
      </c>
      <c r="M89" s="51" t="n">
        <f aca="false">I89*Assumptions!$B$4+J89*Assumptions!$B$5</f>
        <v>522.5</v>
      </c>
      <c r="N89" s="52" t="s">
        <v>238</v>
      </c>
      <c r="O89" s="2" t="s">
        <v>528</v>
      </c>
      <c r="P89" s="2"/>
    </row>
    <row r="90" customFormat="false" ht="15" hidden="false" customHeight="false" outlineLevel="0" collapsed="false">
      <c r="A90" s="2" t="s">
        <v>48</v>
      </c>
      <c r="B90" s="2" t="s">
        <v>492</v>
      </c>
      <c r="C90" s="2" t="s">
        <v>242</v>
      </c>
      <c r="D90" s="59" t="n">
        <v>46301</v>
      </c>
      <c r="E90" s="2" t="s">
        <v>499</v>
      </c>
      <c r="F90" s="2" t="s">
        <v>495</v>
      </c>
      <c r="G90" s="2" t="s">
        <v>15</v>
      </c>
      <c r="H90" s="2" t="s">
        <v>487</v>
      </c>
      <c r="I90" s="45" t="n">
        <f aca="false">INDEX('Recurring Budgets'!$F$2:$F$125,MATCH(P90,'Recurring Budgets'!$A$2:$A$125,0))</f>
        <v>1.6667</v>
      </c>
      <c r="J90" s="45" t="n">
        <f aca="false">INDEX('Recurring Budgets'!$G$2:$G$125,MATCH(P90,'Recurring Budgets'!$A$2:$A$125,0))</f>
        <v>0.3833</v>
      </c>
      <c r="K90" s="50" t="n">
        <f aca="false">I90+J90</f>
        <v>2.05</v>
      </c>
      <c r="L90" s="2" t="n">
        <f aca="false">ROUND(K90*60,0)</f>
        <v>123</v>
      </c>
      <c r="M90" s="51" t="n">
        <f aca="false">INDEX('Recurring Budgets'!$M$2:$M$125,MATCH(P90,'Recurring Budgets'!$A$2:$A$125,0))</f>
        <v>254.1615</v>
      </c>
      <c r="N90" s="39" t="str">
        <f aca="false">INDEX('Recurring Budgets'!$P$2:$P$125,MATCH(P90,'Recurring Budgets'!$A$2:$A$125,0))</f>
        <v>Provisional</v>
      </c>
      <c r="O90" s="39" t="str">
        <f aca="false">INDEX('Recurring Budgets'!$Q$2:$Q$125,MATCH(P90,'Recurring Budgets'!$A$2:$A$125,0))</f>
        <v>Includes Month-end 1.7, CFO advisory 0.1. Store opens Oct 2026 (Square POS, sales tax, inventory; payroll later) – provisional, pre-opening level. Revisit after 2–3 months open. Review = median of 8 closes reviewed in Harvest (0.38h).</v>
      </c>
      <c r="P90" s="2" t="s">
        <v>367</v>
      </c>
    </row>
    <row r="91" customFormat="false" ht="15" hidden="false" customHeight="false" outlineLevel="0" collapsed="false">
      <c r="A91" s="2" t="s">
        <v>48</v>
      </c>
      <c r="B91" s="2" t="s">
        <v>529</v>
      </c>
      <c r="C91" s="2" t="s">
        <v>251</v>
      </c>
      <c r="D91" s="59" t="n">
        <v>46310</v>
      </c>
      <c r="E91" s="2" t="s">
        <v>499</v>
      </c>
      <c r="F91" s="2" t="s">
        <v>489</v>
      </c>
      <c r="G91" s="2" t="s">
        <v>15</v>
      </c>
      <c r="H91" s="2" t="s">
        <v>487</v>
      </c>
      <c r="I91" s="45" t="n">
        <f aca="false">INDEX('Recurring Budgets'!$F$2:$F$125,MATCH(P91,'Recurring Budgets'!$A$2:$A$125,0))</f>
        <v>0.9167</v>
      </c>
      <c r="J91" s="45" t="n">
        <f aca="false">INDEX('Recurring Budgets'!$G$2:$G$125,MATCH(P91,'Recurring Budgets'!$A$2:$A$125,0))</f>
        <v>0</v>
      </c>
      <c r="K91" s="50" t="n">
        <f aca="false">I91+J91</f>
        <v>0.9167</v>
      </c>
      <c r="L91" s="2" t="n">
        <f aca="false">ROUND(K91*60,0)</f>
        <v>55</v>
      </c>
      <c r="M91" s="51" t="n">
        <f aca="false">INDEX('Recurring Budgets'!$M$2:$M$125,MATCH(P91,'Recurring Budgets'!$A$2:$A$125,0))</f>
        <v>87.0865</v>
      </c>
      <c r="N91" s="39" t="str">
        <f aca="false">INDEX('Recurring Budgets'!$P$2:$P$125,MATCH(P91,'Recurring Budgets'!$A$2:$A$125,0))</f>
        <v>Provisional</v>
      </c>
      <c r="O91" s="39" t="str">
        <f aca="false">INDEX('Recurring Budgets'!$Q$2:$Q$125,MATCH(P91,'Recurring Budgets'!$A$2:$A$125,0))</f>
        <v>Sales tax time per month. Store opens Oct 2026 (Square POS, sales tax, inventory; payroll later) – provisional, pre-opening level. Revisit after 2–3 months open.</v>
      </c>
      <c r="P91" s="2" t="s">
        <v>369</v>
      </c>
    </row>
    <row r="92" customFormat="false" ht="15" hidden="false" customHeight="false" outlineLevel="0" collapsed="false">
      <c r="A92" s="2" t="s">
        <v>48</v>
      </c>
      <c r="B92" s="2" t="s">
        <v>237</v>
      </c>
      <c r="C92" s="2" t="s">
        <v>170</v>
      </c>
      <c r="D92" s="59" t="n">
        <v>46325</v>
      </c>
      <c r="E92" s="2" t="s">
        <v>488</v>
      </c>
      <c r="F92" s="2" t="s">
        <v>489</v>
      </c>
      <c r="G92" s="2" t="s">
        <v>170</v>
      </c>
      <c r="H92" s="2" t="s">
        <v>490</v>
      </c>
      <c r="I92" s="45" t="n">
        <f aca="false">INDEX('1099 Oct 30'!$F$5:$F$45,MATCH(P92,'1099 Oct 30'!$A$5:$A$45,0))</f>
        <v>0.375</v>
      </c>
      <c r="J92" s="44" t="n">
        <v>0</v>
      </c>
      <c r="K92" s="50" t="n">
        <f aca="false">I92+J92</f>
        <v>0.375</v>
      </c>
      <c r="L92" s="2" t="n">
        <f aca="false">ROUND(K92*60,0)</f>
        <v>23</v>
      </c>
      <c r="M92" s="51" t="n">
        <f aca="false">I92*Assumptions!$B$4</f>
        <v>35.625</v>
      </c>
      <c r="N92" s="52" t="s">
        <v>238</v>
      </c>
      <c r="O92" s="2" t="s">
        <v>491</v>
      </c>
      <c r="P92" s="2" t="s">
        <v>48</v>
      </c>
    </row>
    <row r="93" customFormat="false" ht="15" hidden="false" customHeight="false" outlineLevel="0" collapsed="false">
      <c r="A93" s="2" t="s">
        <v>50</v>
      </c>
      <c r="B93" s="2" t="s">
        <v>237</v>
      </c>
      <c r="C93" s="2" t="s">
        <v>170</v>
      </c>
      <c r="D93" s="59" t="n">
        <v>46265</v>
      </c>
      <c r="E93" s="2" t="s">
        <v>493</v>
      </c>
      <c r="F93" s="2" t="s">
        <v>511</v>
      </c>
      <c r="G93" s="2" t="s">
        <v>170</v>
      </c>
      <c r="H93" s="2" t="s">
        <v>505</v>
      </c>
      <c r="I93" s="44" t="n">
        <v>0.75</v>
      </c>
      <c r="J93" s="44" t="n">
        <v>0</v>
      </c>
      <c r="K93" s="50" t="n">
        <f aca="false">I93+J93</f>
        <v>0.75</v>
      </c>
      <c r="L93" s="2" t="n">
        <f aca="false">ROUND(K93*60,0)</f>
        <v>45</v>
      </c>
      <c r="M93" s="51" t="n">
        <f aca="false">I93*Assumptions!$B$4+J93*Assumptions!$B$5</f>
        <v>71.25</v>
      </c>
      <c r="N93" s="52" t="s">
        <v>238</v>
      </c>
      <c r="O93" s="2" t="s">
        <v>512</v>
      </c>
      <c r="P93" s="2"/>
    </row>
    <row r="94" customFormat="false" ht="15" hidden="false" customHeight="false" outlineLevel="0" collapsed="false">
      <c r="A94" s="2" t="s">
        <v>50</v>
      </c>
      <c r="B94" s="2" t="s">
        <v>484</v>
      </c>
      <c r="C94" s="2" t="s">
        <v>242</v>
      </c>
      <c r="D94" s="59" t="n">
        <v>46295</v>
      </c>
      <c r="E94" s="2" t="s">
        <v>493</v>
      </c>
      <c r="F94" s="2" t="s">
        <v>511</v>
      </c>
      <c r="G94" s="2" t="s">
        <v>15</v>
      </c>
      <c r="H94" s="2" t="s">
        <v>487</v>
      </c>
      <c r="I94" s="45" t="n">
        <f aca="false">INDEX('Recurring Budgets'!$F$2:$F$125,MATCH(P94,'Recurring Budgets'!$A$2:$A$125,0))</f>
        <v>35.3333</v>
      </c>
      <c r="J94" s="45" t="n">
        <f aca="false">INDEX('Recurring Budgets'!$G$2:$G$125,MATCH(P94,'Recurring Budgets'!$A$2:$A$125,0))</f>
        <v>1.5</v>
      </c>
      <c r="K94" s="50" t="n">
        <f aca="false">I94+J94</f>
        <v>36.8333</v>
      </c>
      <c r="L94" s="2" t="n">
        <f aca="false">ROUND(K94*60,0)</f>
        <v>2210</v>
      </c>
      <c r="M94" s="51" t="n">
        <f aca="false">INDEX('Recurring Budgets'!$M$2:$M$125,MATCH(P94,'Recurring Budgets'!$A$2:$A$125,0))</f>
        <v>3731.6635</v>
      </c>
      <c r="N94" s="39" t="str">
        <f aca="false">INDEX('Recurring Budgets'!$P$2:$P$125,MATCH(P94,'Recurring Budgets'!$A$2:$A$125,0))</f>
        <v>High</v>
      </c>
      <c r="O94" s="39" t="str">
        <f aca="false">INDEX('Recurring Budgets'!$Q$2:$Q$125,MATCH(P94,'Recurring Budgets'!$A$2:$A$125,0))</f>
        <v>Includes Month-end 13.9, Payroll 12.1, Sales tax 0.5, CFO advisory 7.4. Review = median of 5 closes reviewed in Harvest (1.50h).</v>
      </c>
      <c r="P94" s="2" t="s">
        <v>372</v>
      </c>
    </row>
    <row r="95" customFormat="false" ht="15" hidden="false" customHeight="false" outlineLevel="0" collapsed="false">
      <c r="A95" s="2" t="s">
        <v>50</v>
      </c>
      <c r="B95" s="2" t="s">
        <v>530</v>
      </c>
      <c r="C95" s="2" t="s">
        <v>248</v>
      </c>
      <c r="D95" s="59" t="n">
        <v>46300</v>
      </c>
      <c r="E95" s="2" t="s">
        <v>493</v>
      </c>
      <c r="F95" s="2" t="s">
        <v>495</v>
      </c>
      <c r="G95" s="2" t="s">
        <v>30</v>
      </c>
      <c r="H95" s="2" t="s">
        <v>487</v>
      </c>
      <c r="I95" s="45" t="n">
        <f aca="false">INDEX('Recurring Budgets'!$F$2:$F$125,MATCH(P95,'Recurring Budgets'!$A$2:$A$125,0))</f>
        <v>2.25</v>
      </c>
      <c r="J95" s="45" t="n">
        <f aca="false">INDEX('Recurring Budgets'!$G$2:$G$125,MATCH(P95,'Recurring Budgets'!$A$2:$A$125,0))</f>
        <v>0</v>
      </c>
      <c r="K95" s="50" t="n">
        <f aca="false">I95+J95</f>
        <v>2.25</v>
      </c>
      <c r="L95" s="2" t="n">
        <f aca="false">ROUND(K95*60,0)</f>
        <v>135</v>
      </c>
      <c r="M95" s="51" t="n">
        <f aca="false">INDEX('Recurring Budgets'!$M$2:$M$125,MATCH(P95,'Recurring Budgets'!$A$2:$A$125,0))</f>
        <v>213.75</v>
      </c>
      <c r="N95" s="39" t="str">
        <f aca="false">INDEX('Recurring Budgets'!$P$2:$P$125,MATCH(P95,'Recurring Budgets'!$A$2:$A$125,0))</f>
        <v>High</v>
      </c>
      <c r="O95" s="39" t="str">
        <f aca="false">INDEX('Recurring Budgets'!$Q$2:$Q$125,MATCH(P95,'Recurring Budgets'!$A$2:$A$125,0))</f>
        <v>Weekly bookkeeping/settlement time ÷ weeks per month.</v>
      </c>
      <c r="P95" s="2" t="s">
        <v>374</v>
      </c>
    </row>
    <row r="96" customFormat="false" ht="15" hidden="false" customHeight="false" outlineLevel="0" collapsed="false">
      <c r="A96" s="2" t="s">
        <v>50</v>
      </c>
      <c r="B96" s="2" t="s">
        <v>531</v>
      </c>
      <c r="C96" s="2" t="s">
        <v>248</v>
      </c>
      <c r="D96" s="59" t="n">
        <v>46307</v>
      </c>
      <c r="E96" s="2" t="s">
        <v>493</v>
      </c>
      <c r="F96" s="2" t="s">
        <v>489</v>
      </c>
      <c r="G96" s="2" t="s">
        <v>30</v>
      </c>
      <c r="H96" s="2" t="s">
        <v>487</v>
      </c>
      <c r="I96" s="45" t="n">
        <f aca="false">INDEX('Recurring Budgets'!$F$2:$F$125,MATCH(P96,'Recurring Budgets'!$A$2:$A$125,0))</f>
        <v>2.25</v>
      </c>
      <c r="J96" s="45" t="n">
        <f aca="false">INDEX('Recurring Budgets'!$G$2:$G$125,MATCH(P96,'Recurring Budgets'!$A$2:$A$125,0))</f>
        <v>0</v>
      </c>
      <c r="K96" s="50" t="n">
        <f aca="false">I96+J96</f>
        <v>2.25</v>
      </c>
      <c r="L96" s="2" t="n">
        <f aca="false">ROUND(K96*60,0)</f>
        <v>135</v>
      </c>
      <c r="M96" s="51" t="n">
        <f aca="false">INDEX('Recurring Budgets'!$M$2:$M$125,MATCH(P96,'Recurring Budgets'!$A$2:$A$125,0))</f>
        <v>213.75</v>
      </c>
      <c r="N96" s="39" t="str">
        <f aca="false">INDEX('Recurring Budgets'!$P$2:$P$125,MATCH(P96,'Recurring Budgets'!$A$2:$A$125,0))</f>
        <v>High</v>
      </c>
      <c r="O96" s="39" t="str">
        <f aca="false">INDEX('Recurring Budgets'!$Q$2:$Q$125,MATCH(P96,'Recurring Budgets'!$A$2:$A$125,0))</f>
        <v>Weekly bookkeeping/settlement time ÷ weeks per month.</v>
      </c>
      <c r="P96" s="2" t="s">
        <v>374</v>
      </c>
    </row>
    <row r="97" customFormat="false" ht="15" hidden="false" customHeight="false" outlineLevel="0" collapsed="false">
      <c r="A97" s="2" t="s">
        <v>50</v>
      </c>
      <c r="B97" s="2" t="s">
        <v>492</v>
      </c>
      <c r="C97" s="2" t="s">
        <v>242</v>
      </c>
      <c r="D97" s="59" t="n">
        <v>46311</v>
      </c>
      <c r="E97" s="2" t="s">
        <v>493</v>
      </c>
      <c r="F97" s="2" t="s">
        <v>495</v>
      </c>
      <c r="G97" s="2" t="s">
        <v>15</v>
      </c>
      <c r="H97" s="2" t="s">
        <v>487</v>
      </c>
      <c r="I97" s="45" t="n">
        <f aca="false">INDEX('Recurring Budgets'!$F$2:$F$125,MATCH(P97,'Recurring Budgets'!$A$2:$A$125,0))</f>
        <v>35.3333</v>
      </c>
      <c r="J97" s="45" t="n">
        <f aca="false">INDEX('Recurring Budgets'!$G$2:$G$125,MATCH(P97,'Recurring Budgets'!$A$2:$A$125,0))</f>
        <v>1.5</v>
      </c>
      <c r="K97" s="50" t="n">
        <f aca="false">I97+J97</f>
        <v>36.8333</v>
      </c>
      <c r="L97" s="2" t="n">
        <f aca="false">ROUND(K97*60,0)</f>
        <v>2210</v>
      </c>
      <c r="M97" s="51" t="n">
        <f aca="false">INDEX('Recurring Budgets'!$M$2:$M$125,MATCH(P97,'Recurring Budgets'!$A$2:$A$125,0))</f>
        <v>3731.6635</v>
      </c>
      <c r="N97" s="39" t="str">
        <f aca="false">INDEX('Recurring Budgets'!$P$2:$P$125,MATCH(P97,'Recurring Budgets'!$A$2:$A$125,0))</f>
        <v>High</v>
      </c>
      <c r="O97" s="39" t="str">
        <f aca="false">INDEX('Recurring Budgets'!$Q$2:$Q$125,MATCH(P97,'Recurring Budgets'!$A$2:$A$125,0))</f>
        <v>Includes Month-end 13.9, Payroll 12.1, Sales tax 0.5, CFO advisory 7.4. Review = median of 5 closes reviewed in Harvest (1.50h).</v>
      </c>
      <c r="P97" s="2" t="s">
        <v>372</v>
      </c>
    </row>
    <row r="98" customFormat="false" ht="15" hidden="false" customHeight="false" outlineLevel="0" collapsed="false">
      <c r="A98" s="2" t="s">
        <v>50</v>
      </c>
      <c r="B98" s="2" t="s">
        <v>237</v>
      </c>
      <c r="C98" s="2" t="s">
        <v>170</v>
      </c>
      <c r="D98" s="59" t="n">
        <v>46325</v>
      </c>
      <c r="E98" s="2" t="s">
        <v>488</v>
      </c>
      <c r="F98" s="2" t="s">
        <v>489</v>
      </c>
      <c r="G98" s="2" t="s">
        <v>170</v>
      </c>
      <c r="H98" s="2" t="s">
        <v>490</v>
      </c>
      <c r="I98" s="45" t="n">
        <f aca="false">INDEX('1099 Oct 30'!$F$5:$F$45,MATCH(P98,'1099 Oct 30'!$A$5:$A$45,0))</f>
        <v>2</v>
      </c>
      <c r="J98" s="44" t="n">
        <v>0</v>
      </c>
      <c r="K98" s="50" t="n">
        <f aca="false">I98+J98</f>
        <v>2</v>
      </c>
      <c r="L98" s="2" t="n">
        <f aca="false">ROUND(K98*60,0)</f>
        <v>120</v>
      </c>
      <c r="M98" s="51" t="n">
        <f aca="false">I98*Assumptions!$B$4</f>
        <v>190</v>
      </c>
      <c r="N98" s="52" t="s">
        <v>238</v>
      </c>
      <c r="O98" s="2" t="s">
        <v>491</v>
      </c>
      <c r="P98" s="2" t="s">
        <v>50</v>
      </c>
    </row>
    <row r="99" customFormat="false" ht="15" hidden="false" customHeight="false" outlineLevel="0" collapsed="false">
      <c r="A99" s="2" t="s">
        <v>52</v>
      </c>
      <c r="B99" s="2" t="s">
        <v>484</v>
      </c>
      <c r="C99" s="2" t="s">
        <v>242</v>
      </c>
      <c r="D99" s="59" t="n">
        <v>46295</v>
      </c>
      <c r="E99" s="2" t="s">
        <v>493</v>
      </c>
      <c r="F99" s="2" t="s">
        <v>495</v>
      </c>
      <c r="G99" s="2" t="s">
        <v>15</v>
      </c>
      <c r="H99" s="2" t="s">
        <v>487</v>
      </c>
      <c r="I99" s="45" t="n">
        <f aca="false">INDEX('Recurring Budgets'!$F$2:$F$125,MATCH(P99,'Recurring Budgets'!$A$2:$A$125,0))</f>
        <v>3.25</v>
      </c>
      <c r="J99" s="45" t="n">
        <f aca="false">INDEX('Recurring Budgets'!$G$2:$G$125,MATCH(P99,'Recurring Budgets'!$A$2:$A$125,0))</f>
        <v>0.7</v>
      </c>
      <c r="K99" s="50" t="n">
        <f aca="false">I99+J99</f>
        <v>3.95</v>
      </c>
      <c r="L99" s="2" t="n">
        <f aca="false">ROUND(K99*60,0)</f>
        <v>237</v>
      </c>
      <c r="M99" s="51" t="n">
        <f aca="false">INDEX('Recurring Budgets'!$M$2:$M$125,MATCH(P99,'Recurring Budgets'!$A$2:$A$125,0))</f>
        <v>483.75</v>
      </c>
      <c r="N99" s="39" t="str">
        <f aca="false">INDEX('Recurring Budgets'!$P$2:$P$125,MATCH(P99,'Recurring Budgets'!$A$2:$A$125,0))</f>
        <v>High</v>
      </c>
      <c r="O99" s="39" t="str">
        <f aca="false">INDEX('Recurring Budgets'!$Q$2:$Q$125,MATCH(P99,'Recurring Budgets'!$A$2:$A$125,0))</f>
        <v>Includes Month-end 2.6, Bookkeeping 0.4, CFO advisory 0.1. Review = median of 5 closes reviewed in Harvest (0.70h).</v>
      </c>
      <c r="P99" s="2" t="s">
        <v>376</v>
      </c>
    </row>
    <row r="100" customFormat="false" ht="15" hidden="false" customHeight="false" outlineLevel="0" collapsed="false">
      <c r="A100" s="2" t="s">
        <v>52</v>
      </c>
      <c r="B100" s="2" t="s">
        <v>237</v>
      </c>
      <c r="C100" s="2" t="s">
        <v>170</v>
      </c>
      <c r="D100" s="59" t="n">
        <v>46325</v>
      </c>
      <c r="E100" s="2" t="s">
        <v>488</v>
      </c>
      <c r="F100" s="2" t="s">
        <v>489</v>
      </c>
      <c r="G100" s="2" t="s">
        <v>170</v>
      </c>
      <c r="H100" s="2" t="s">
        <v>490</v>
      </c>
      <c r="I100" s="45" t="n">
        <f aca="false">INDEX('1099 Oct 30'!$F$5:$F$45,MATCH(P100,'1099 Oct 30'!$A$5:$A$45,0))</f>
        <v>1.5</v>
      </c>
      <c r="J100" s="44" t="n">
        <v>0</v>
      </c>
      <c r="K100" s="50" t="n">
        <f aca="false">I100+J100</f>
        <v>1.5</v>
      </c>
      <c r="L100" s="2" t="n">
        <f aca="false">ROUND(K100*60,0)</f>
        <v>90</v>
      </c>
      <c r="M100" s="51" t="n">
        <f aca="false">I100*Assumptions!$B$4</f>
        <v>142.5</v>
      </c>
      <c r="N100" s="52" t="s">
        <v>238</v>
      </c>
      <c r="O100" s="2" t="s">
        <v>491</v>
      </c>
      <c r="P100" s="2" t="s">
        <v>52</v>
      </c>
    </row>
    <row r="101" customFormat="false" ht="15" hidden="false" customHeight="false" outlineLevel="0" collapsed="false">
      <c r="A101" s="2" t="s">
        <v>53</v>
      </c>
      <c r="B101" s="2" t="s">
        <v>484</v>
      </c>
      <c r="C101" s="2" t="s">
        <v>242</v>
      </c>
      <c r="D101" s="59" t="n">
        <v>46295</v>
      </c>
      <c r="E101" s="2" t="s">
        <v>485</v>
      </c>
      <c r="F101" s="2" t="s">
        <v>486</v>
      </c>
      <c r="G101" s="2" t="s">
        <v>15</v>
      </c>
      <c r="H101" s="2" t="s">
        <v>487</v>
      </c>
      <c r="I101" s="45" t="n">
        <f aca="false">INDEX('Recurring Budgets'!$F$2:$F$125,MATCH(P101,'Recurring Budgets'!$A$2:$A$125,0))</f>
        <v>1.75</v>
      </c>
      <c r="J101" s="45" t="n">
        <f aca="false">INDEX('Recurring Budgets'!$G$2:$G$125,MATCH(P101,'Recurring Budgets'!$A$2:$A$125,0))</f>
        <v>0.7</v>
      </c>
      <c r="K101" s="50" t="n">
        <f aca="false">I101+J101</f>
        <v>2.45</v>
      </c>
      <c r="L101" s="2" t="n">
        <f aca="false">ROUND(K101*60,0)</f>
        <v>147</v>
      </c>
      <c r="M101" s="51" t="n">
        <f aca="false">INDEX('Recurring Budgets'!$M$2:$M$125,MATCH(P101,'Recurring Budgets'!$A$2:$A$125,0))</f>
        <v>341.25</v>
      </c>
      <c r="N101" s="39" t="str">
        <f aca="false">INDEX('Recurring Budgets'!$P$2:$P$125,MATCH(P101,'Recurring Budgets'!$A$2:$A$125,0))</f>
        <v>High</v>
      </c>
      <c r="O101" s="39" t="str">
        <f aca="false">INDEX('Recurring Budgets'!$Q$2:$Q$125,MATCH(P101,'Recurring Budgets'!$A$2:$A$125,0))</f>
        <v>Includes Month-end 1.9. Review = median of 7 closes reviewed in Harvest (0.70h).</v>
      </c>
      <c r="P101" s="2" t="s">
        <v>379</v>
      </c>
    </row>
    <row r="102" customFormat="false" ht="15" hidden="false" customHeight="false" outlineLevel="0" collapsed="false">
      <c r="A102" s="2" t="s">
        <v>53</v>
      </c>
      <c r="B102" s="2" t="s">
        <v>237</v>
      </c>
      <c r="C102" s="2" t="s">
        <v>170</v>
      </c>
      <c r="D102" s="59" t="n">
        <v>46325</v>
      </c>
      <c r="E102" s="2" t="s">
        <v>488</v>
      </c>
      <c r="F102" s="2" t="s">
        <v>489</v>
      </c>
      <c r="G102" s="2" t="s">
        <v>170</v>
      </c>
      <c r="H102" s="2" t="s">
        <v>490</v>
      </c>
      <c r="I102" s="45" t="n">
        <f aca="false">INDEX('1099 Oct 30'!$F$5:$F$45,MATCH(P102,'1099 Oct 30'!$A$5:$A$45,0))</f>
        <v>4</v>
      </c>
      <c r="J102" s="44" t="n">
        <v>0</v>
      </c>
      <c r="K102" s="50" t="n">
        <f aca="false">I102+J102</f>
        <v>4</v>
      </c>
      <c r="L102" s="2" t="n">
        <f aca="false">ROUND(K102*60,0)</f>
        <v>240</v>
      </c>
      <c r="M102" s="51" t="n">
        <f aca="false">I102*Assumptions!$B$4</f>
        <v>380</v>
      </c>
      <c r="N102" s="52" t="s">
        <v>238</v>
      </c>
      <c r="O102" s="2" t="s">
        <v>491</v>
      </c>
      <c r="P102" s="2" t="s">
        <v>53</v>
      </c>
    </row>
    <row r="103" customFormat="false" ht="15" hidden="false" customHeight="false" outlineLevel="0" collapsed="false">
      <c r="A103" s="2" t="s">
        <v>54</v>
      </c>
      <c r="B103" s="2" t="s">
        <v>119</v>
      </c>
      <c r="C103" s="2" t="s">
        <v>242</v>
      </c>
      <c r="D103" s="59" t="n">
        <v>46290</v>
      </c>
      <c r="E103" s="2" t="s">
        <v>503</v>
      </c>
      <c r="F103" s="2" t="s">
        <v>495</v>
      </c>
      <c r="G103" s="2" t="s">
        <v>108</v>
      </c>
      <c r="H103" s="2" t="s">
        <v>505</v>
      </c>
      <c r="I103" s="44" t="n">
        <v>8</v>
      </c>
      <c r="J103" s="44" t="n">
        <v>0.5</v>
      </c>
      <c r="K103" s="50" t="n">
        <f aca="false">I103+J103</f>
        <v>8.5</v>
      </c>
      <c r="L103" s="2" t="n">
        <f aca="false">ROUND(K103*60,0)</f>
        <v>510</v>
      </c>
      <c r="M103" s="51" t="n">
        <f aca="false">I103*Assumptions!$B$4+J103*Assumptions!$B$5</f>
        <v>885</v>
      </c>
      <c r="N103" s="52" t="s">
        <v>238</v>
      </c>
      <c r="O103" s="2" t="s">
        <v>532</v>
      </c>
      <c r="P103" s="2"/>
    </row>
    <row r="104" customFormat="false" ht="15" hidden="false" customHeight="false" outlineLevel="0" collapsed="false">
      <c r="A104" s="2" t="s">
        <v>54</v>
      </c>
      <c r="B104" s="2" t="s">
        <v>120</v>
      </c>
      <c r="C104" s="2" t="s">
        <v>502</v>
      </c>
      <c r="D104" s="59" t="n">
        <v>46295</v>
      </c>
      <c r="E104" s="2" t="s">
        <v>503</v>
      </c>
      <c r="F104" s="2" t="s">
        <v>504</v>
      </c>
      <c r="G104" s="2" t="s">
        <v>108</v>
      </c>
      <c r="H104" s="2" t="s">
        <v>505</v>
      </c>
      <c r="I104" s="44" t="n">
        <v>10</v>
      </c>
      <c r="J104" s="44" t="n">
        <v>0</v>
      </c>
      <c r="K104" s="50" t="n">
        <f aca="false">I104+J104</f>
        <v>10</v>
      </c>
      <c r="L104" s="2" t="n">
        <f aca="false">ROUND(K104*60,0)</f>
        <v>600</v>
      </c>
      <c r="M104" s="51" t="n">
        <f aca="false">I104*Assumptions!$B$4+J104*Assumptions!$B$5</f>
        <v>950</v>
      </c>
      <c r="N104" s="52" t="s">
        <v>238</v>
      </c>
      <c r="O104" s="2" t="s">
        <v>533</v>
      </c>
      <c r="P104" s="2"/>
    </row>
    <row r="105" customFormat="false" ht="15" hidden="false" customHeight="false" outlineLevel="0" collapsed="false">
      <c r="A105" s="2" t="s">
        <v>54</v>
      </c>
      <c r="B105" s="2" t="s">
        <v>534</v>
      </c>
      <c r="C105" s="2" t="s">
        <v>248</v>
      </c>
      <c r="D105" s="59" t="n">
        <v>46301</v>
      </c>
      <c r="E105" s="2" t="s">
        <v>485</v>
      </c>
      <c r="F105" s="2" t="s">
        <v>489</v>
      </c>
      <c r="G105" s="2" t="s">
        <v>56</v>
      </c>
      <c r="H105" s="2" t="s">
        <v>487</v>
      </c>
      <c r="I105" s="45" t="n">
        <f aca="false">INDEX('Recurring Budgets'!$F$2:$F$125,MATCH(P105,'Recurring Budgets'!$A$2:$A$125,0))</f>
        <v>0.9167</v>
      </c>
      <c r="J105" s="45" t="n">
        <f aca="false">INDEX('Recurring Budgets'!$G$2:$G$125,MATCH(P105,'Recurring Budgets'!$A$2:$A$125,0))</f>
        <v>0.25</v>
      </c>
      <c r="K105" s="50" t="n">
        <f aca="false">I105+J105</f>
        <v>1.1667</v>
      </c>
      <c r="L105" s="2" t="n">
        <f aca="false">ROUND(K105*60,0)</f>
        <v>70</v>
      </c>
      <c r="M105" s="51" t="n">
        <f aca="false">INDEX('Recurring Budgets'!$M$2:$M$125,MATCH(P105,'Recurring Budgets'!$A$2:$A$125,0))</f>
        <v>149.5865</v>
      </c>
      <c r="N105" s="39" t="str">
        <f aca="false">INDEX('Recurring Budgets'!$P$2:$P$125,MATCH(P105,'Recurring Budgets'!$A$2:$A$125,0))</f>
        <v>High</v>
      </c>
      <c r="O105" s="39" t="str">
        <f aca="false">INDEX('Recurring Budgets'!$Q$2:$Q$125,MATCH(P105,'Recurring Budgets'!$A$2:$A$125,0))</f>
        <v>Payroll time ÷ pay periods per month (75% share). Payroll takeover in progress (Paychex/401k/PFML); tax audit budgeted separately. Confirm payroll is ongoing. Review = Lisa oversight, 15 min per occurrence (work moving to Jessica).</v>
      </c>
      <c r="P105" s="2" t="s">
        <v>386</v>
      </c>
    </row>
    <row r="106" customFormat="false" ht="15" hidden="false" customHeight="false" outlineLevel="0" collapsed="false">
      <c r="A106" s="2" t="s">
        <v>54</v>
      </c>
      <c r="B106" s="2" t="s">
        <v>535</v>
      </c>
      <c r="C106" s="2" t="s">
        <v>384</v>
      </c>
      <c r="D106" s="59" t="n">
        <v>46302</v>
      </c>
      <c r="E106" s="2" t="s">
        <v>498</v>
      </c>
      <c r="F106" s="2" t="s">
        <v>489</v>
      </c>
      <c r="G106" s="2" t="s">
        <v>56</v>
      </c>
      <c r="H106" s="2" t="s">
        <v>487</v>
      </c>
      <c r="I106" s="45" t="n">
        <f aca="false">INDEX('Recurring Budgets'!$F$2:$F$125,MATCH(P106,'Recurring Budgets'!$A$2:$A$125,0))</f>
        <v>0.3333</v>
      </c>
      <c r="J106" s="45" t="n">
        <f aca="false">INDEX('Recurring Budgets'!$G$2:$G$125,MATCH(P106,'Recurring Budgets'!$A$2:$A$125,0))</f>
        <v>0.1667</v>
      </c>
      <c r="K106" s="50" t="n">
        <f aca="false">I106+J106</f>
        <v>0.5</v>
      </c>
      <c r="L106" s="2" t="n">
        <f aca="false">ROUND(K106*60,0)</f>
        <v>30</v>
      </c>
      <c r="M106" s="51" t="n">
        <f aca="false">INDEX('Recurring Budgets'!$M$2:$M$125,MATCH(P106,'Recurring Budgets'!$A$2:$A$125,0))</f>
        <v>73.3385</v>
      </c>
      <c r="N106" s="39" t="str">
        <f aca="false">INDEX('Recurring Budgets'!$P$2:$P$125,MATCH(P106,'Recurring Budgets'!$A$2:$A$125,0))</f>
        <v>High</v>
      </c>
      <c r="O106" s="39" t="str">
        <f aca="false">INDEX('Recurring Budgets'!$Q$2:$Q$125,MATCH(P106,'Recurring Budgets'!$A$2:$A$125,0))</f>
        <v>Payroll time ÷ pay periods per month (25% share). Payroll takeover in progress (Paychex/401k/PFML); tax audit budgeted separately. Confirm payroll is ongoing. Review = Lisa oversight, 15 min per occurrence (work moving to Jessica).</v>
      </c>
      <c r="P106" s="2" t="s">
        <v>383</v>
      </c>
    </row>
    <row r="107" customFormat="false" ht="15" hidden="false" customHeight="false" outlineLevel="0" collapsed="false">
      <c r="A107" s="2" t="s">
        <v>54</v>
      </c>
      <c r="B107" s="2" t="s">
        <v>237</v>
      </c>
      <c r="C107" s="2" t="s">
        <v>254</v>
      </c>
      <c r="D107" s="59" t="n">
        <v>46325</v>
      </c>
      <c r="E107" s="2" t="s">
        <v>488</v>
      </c>
      <c r="F107" s="2" t="s">
        <v>489</v>
      </c>
      <c r="G107" s="2" t="s">
        <v>170</v>
      </c>
      <c r="H107" s="2" t="s">
        <v>490</v>
      </c>
      <c r="I107" s="45" t="n">
        <f aca="false">INDEX('1099 Oct 30'!$F$5:$F$45,MATCH(P107,'1099 Oct 30'!$A$5:$A$45,0))</f>
        <v>4</v>
      </c>
      <c r="J107" s="44" t="n">
        <v>0</v>
      </c>
      <c r="K107" s="50" t="n">
        <f aca="false">I107+J107</f>
        <v>4</v>
      </c>
      <c r="L107" s="2" t="n">
        <f aca="false">ROUND(K107*60,0)</f>
        <v>240</v>
      </c>
      <c r="M107" s="51" t="n">
        <f aca="false">I107*Assumptions!$B$4</f>
        <v>380</v>
      </c>
      <c r="N107" s="52" t="s">
        <v>238</v>
      </c>
      <c r="O107" s="2" t="s">
        <v>491</v>
      </c>
      <c r="P107" s="2" t="s">
        <v>54</v>
      </c>
    </row>
    <row r="108" customFormat="false" ht="15" hidden="false" customHeight="false" outlineLevel="0" collapsed="false">
      <c r="A108" s="2" t="s">
        <v>58</v>
      </c>
      <c r="B108" s="2" t="s">
        <v>536</v>
      </c>
      <c r="C108" s="2" t="s">
        <v>251</v>
      </c>
      <c r="D108" s="59" t="n">
        <v>46314</v>
      </c>
      <c r="E108" s="2" t="s">
        <v>493</v>
      </c>
      <c r="F108" s="2" t="s">
        <v>489</v>
      </c>
      <c r="G108" s="2" t="s">
        <v>13</v>
      </c>
      <c r="H108" s="2" t="s">
        <v>487</v>
      </c>
      <c r="I108" s="45" t="n">
        <f aca="false">INDEX('Recurring Budgets'!$F$2:$F$125,MATCH(P108,'Recurring Budgets'!$A$2:$A$125,0))</f>
        <v>0.5</v>
      </c>
      <c r="J108" s="45" t="n">
        <f aca="false">INDEX('Recurring Budgets'!$G$2:$G$125,MATCH(P108,'Recurring Budgets'!$A$2:$A$125,0))</f>
        <v>0</v>
      </c>
      <c r="K108" s="50" t="n">
        <f aca="false">I108+J108</f>
        <v>0.5</v>
      </c>
      <c r="L108" s="2" t="n">
        <f aca="false">ROUND(K108*60,0)</f>
        <v>30</v>
      </c>
      <c r="M108" s="51" t="n">
        <f aca="false">INDEX('Recurring Budgets'!$M$2:$M$125,MATCH(P108,'Recurring Budgets'!$A$2:$A$125,0))</f>
        <v>47.5</v>
      </c>
      <c r="N108" s="39" t="str">
        <f aca="false">INDEX('Recurring Budgets'!$P$2:$P$125,MATCH(P108,'Recurring Budgets'!$A$2:$A$125,0))</f>
        <v>Estimate</v>
      </c>
      <c r="O108" s="39" t="str">
        <f aca="false">INDEX('Recurring Budgets'!$Q$2:$Q$125,MATCH(P108,'Recurring Budgets'!$A$2:$A$125,0))</f>
        <v>Sales tax time × 3 (quarterly filing). Little logged time – minimum applied.</v>
      </c>
      <c r="P108" s="2" t="s">
        <v>395</v>
      </c>
    </row>
    <row r="109" customFormat="false" ht="15" hidden="false" customHeight="false" outlineLevel="0" collapsed="false">
      <c r="A109" s="2" t="s">
        <v>58</v>
      </c>
      <c r="B109" s="2" t="s">
        <v>237</v>
      </c>
      <c r="C109" s="2" t="s">
        <v>170</v>
      </c>
      <c r="D109" s="59" t="n">
        <v>46325</v>
      </c>
      <c r="E109" s="2" t="s">
        <v>488</v>
      </c>
      <c r="F109" s="2" t="s">
        <v>489</v>
      </c>
      <c r="G109" s="2" t="s">
        <v>170</v>
      </c>
      <c r="H109" s="2" t="s">
        <v>490</v>
      </c>
      <c r="I109" s="45" t="n">
        <f aca="false">INDEX('1099 Oct 30'!$F$5:$F$45,MATCH(P109,'1099 Oct 30'!$A$5:$A$45,0))</f>
        <v>1.5</v>
      </c>
      <c r="J109" s="44" t="n">
        <v>0</v>
      </c>
      <c r="K109" s="50" t="n">
        <f aca="false">I109+J109</f>
        <v>1.5</v>
      </c>
      <c r="L109" s="2" t="n">
        <f aca="false">ROUND(K109*60,0)</f>
        <v>90</v>
      </c>
      <c r="M109" s="51" t="n">
        <f aca="false">I109*Assumptions!$B$4</f>
        <v>142.5</v>
      </c>
      <c r="N109" s="52" t="s">
        <v>238</v>
      </c>
      <c r="O109" s="2" t="s">
        <v>491</v>
      </c>
      <c r="P109" s="2" t="s">
        <v>58</v>
      </c>
    </row>
    <row r="110" customFormat="false" ht="15" hidden="false" customHeight="false" outlineLevel="0" collapsed="false">
      <c r="A110" s="2" t="s">
        <v>58</v>
      </c>
      <c r="B110" s="2" t="s">
        <v>537</v>
      </c>
      <c r="C110" s="2" t="s">
        <v>393</v>
      </c>
      <c r="D110" s="59" t="n">
        <v>46325</v>
      </c>
      <c r="E110" s="2" t="s">
        <v>493</v>
      </c>
      <c r="F110" s="2" t="s">
        <v>495</v>
      </c>
      <c r="G110" s="2" t="s">
        <v>13</v>
      </c>
      <c r="H110" s="2" t="s">
        <v>487</v>
      </c>
      <c r="I110" s="45" t="n">
        <f aca="false">INDEX('Recurring Budgets'!$F$2:$F$125,MATCH(P110,'Recurring Budgets'!$A$2:$A$125,0))</f>
        <v>1.4167</v>
      </c>
      <c r="J110" s="45" t="n">
        <f aca="false">INDEX('Recurring Budgets'!$G$2:$G$125,MATCH(P110,'Recurring Budgets'!$A$2:$A$125,0))</f>
        <v>0.7</v>
      </c>
      <c r="K110" s="50" t="n">
        <f aca="false">I110+J110</f>
        <v>2.1167</v>
      </c>
      <c r="L110" s="2" t="n">
        <f aca="false">ROUND(K110*60,0)</f>
        <v>127</v>
      </c>
      <c r="M110" s="51" t="n">
        <f aca="false">INDEX('Recurring Budgets'!$M$2:$M$125,MATCH(P110,'Recurring Budgets'!$A$2:$A$125,0))</f>
        <v>309.5865</v>
      </c>
      <c r="N110" s="39" t="str">
        <f aca="false">INDEX('Recurring Budgets'!$P$2:$P$125,MATCH(P110,'Recurring Budgets'!$A$2:$A$125,0))</f>
        <v>High</v>
      </c>
      <c r="O110" s="39" t="str">
        <f aca="false">INDEX('Recurring Budgets'!$Q$2:$Q$125,MATCH(P110,'Recurring Budgets'!$A$2:$A$125,0))</f>
        <v>Includes Month-end 0.8, Payroll 0.4. Review = median of 6 closes reviewed in Harvest (0.70h).</v>
      </c>
      <c r="P110" s="2" t="s">
        <v>392</v>
      </c>
    </row>
    <row r="111" customFormat="false" ht="15" hidden="false" customHeight="false" outlineLevel="0" collapsed="false">
      <c r="A111" s="2" t="s">
        <v>61</v>
      </c>
      <c r="B111" s="2" t="s">
        <v>484</v>
      </c>
      <c r="C111" s="2" t="s">
        <v>242</v>
      </c>
      <c r="D111" s="59" t="n">
        <v>46296</v>
      </c>
      <c r="E111" s="2" t="s">
        <v>493</v>
      </c>
      <c r="F111" s="2" t="s">
        <v>495</v>
      </c>
      <c r="G111" s="2" t="s">
        <v>15</v>
      </c>
      <c r="H111" s="2" t="s">
        <v>487</v>
      </c>
      <c r="I111" s="45" t="n">
        <f aca="false">INDEX('Recurring Budgets'!$F$2:$F$125,MATCH(P111,'Recurring Budgets'!$A$2:$A$125,0))</f>
        <v>5.75</v>
      </c>
      <c r="J111" s="45" t="n">
        <f aca="false">INDEX('Recurring Budgets'!$G$2:$G$125,MATCH(P111,'Recurring Budgets'!$A$2:$A$125,0))</f>
        <v>0.7</v>
      </c>
      <c r="K111" s="50" t="n">
        <f aca="false">I111+J111</f>
        <v>6.45</v>
      </c>
      <c r="L111" s="2" t="n">
        <f aca="false">ROUND(K111*60,0)</f>
        <v>387</v>
      </c>
      <c r="M111" s="51" t="n">
        <f aca="false">INDEX('Recurring Budgets'!$M$2:$M$125,MATCH(P111,'Recurring Budgets'!$A$2:$A$125,0))</f>
        <v>721.25</v>
      </c>
      <c r="N111" s="39" t="str">
        <f aca="false">INDEX('Recurring Budgets'!$P$2:$P$125,MATCH(P111,'Recurring Budgets'!$A$2:$A$125,0))</f>
        <v>High</v>
      </c>
      <c r="O111" s="39" t="str">
        <f aca="false">INDEX('Recurring Budgets'!$Q$2:$Q$125,MATCH(P111,'Recurring Budgets'!$A$2:$A$125,0))</f>
        <v>Includes Month-end 5.4, Bookkeeping 0.1, Sales tax 0.4, CFO advisory 0.1. Less 0.5h budgeted on "Monthly Reports and Bank Statements". Review = median of 7 closes reviewed in Harvest (0.70h).</v>
      </c>
      <c r="P111" s="2" t="s">
        <v>399</v>
      </c>
    </row>
    <row r="112" customFormat="false" ht="15" hidden="false" customHeight="false" outlineLevel="0" collapsed="false">
      <c r="A112" s="2" t="s">
        <v>61</v>
      </c>
      <c r="B112" s="2" t="s">
        <v>62</v>
      </c>
      <c r="C112" s="2" t="s">
        <v>242</v>
      </c>
      <c r="D112" s="59" t="n">
        <v>46297</v>
      </c>
      <c r="E112" s="2" t="s">
        <v>493</v>
      </c>
      <c r="F112" s="2" t="s">
        <v>504</v>
      </c>
      <c r="G112" s="2" t="s">
        <v>15</v>
      </c>
      <c r="H112" s="2" t="s">
        <v>487</v>
      </c>
      <c r="I112" s="45" t="n">
        <f aca="false">INDEX('Recurring Budgets'!$F$2:$F$125,MATCH(P112,'Recurring Budgets'!$A$2:$A$125,0))</f>
        <v>0.5</v>
      </c>
      <c r="J112" s="45" t="n">
        <f aca="false">INDEX('Recurring Budgets'!$G$2:$G$125,MATCH(P112,'Recurring Budgets'!$A$2:$A$125,0))</f>
        <v>0</v>
      </c>
      <c r="K112" s="50" t="n">
        <f aca="false">I112+J112</f>
        <v>0.5</v>
      </c>
      <c r="L112" s="2" t="n">
        <f aca="false">ROUND(K112*60,0)</f>
        <v>30</v>
      </c>
      <c r="M112" s="51" t="n">
        <f aca="false">INDEX('Recurring Budgets'!$M$2:$M$125,MATCH(P112,'Recurring Budgets'!$A$2:$A$125,0))</f>
        <v>47.5</v>
      </c>
      <c r="N112" s="39" t="str">
        <f aca="false">INDEX('Recurring Budgets'!$P$2:$P$125,MATCH(P112,'Recurring Budgets'!$A$2:$A$125,0))</f>
        <v>High</v>
      </c>
      <c r="O112" s="39" t="str">
        <f aca="false">INDEX('Recurring Budgets'!$Q$2:$Q$125,MATCH(P112,'Recurring Budgets'!$A$2:$A$125,0))</f>
        <v>Collecting monthly reports/statements (close prep). Taken out of the month-end budget.</v>
      </c>
      <c r="P112" s="2" t="s">
        <v>401</v>
      </c>
    </row>
    <row r="113" customFormat="false" ht="15" hidden="false" customHeight="false" outlineLevel="0" collapsed="false">
      <c r="A113" s="2" t="s">
        <v>61</v>
      </c>
      <c r="B113" s="2" t="s">
        <v>237</v>
      </c>
      <c r="C113" s="2" t="s">
        <v>170</v>
      </c>
      <c r="D113" s="59" t="n">
        <v>46325</v>
      </c>
      <c r="E113" s="2" t="s">
        <v>488</v>
      </c>
      <c r="F113" s="2" t="s">
        <v>489</v>
      </c>
      <c r="G113" s="2" t="s">
        <v>170</v>
      </c>
      <c r="H113" s="2" t="s">
        <v>490</v>
      </c>
      <c r="I113" s="45" t="n">
        <f aca="false">INDEX('1099 Oct 30'!$F$5:$F$45,MATCH(P113,'1099 Oct 30'!$A$5:$A$45,0))</f>
        <v>4</v>
      </c>
      <c r="J113" s="44" t="n">
        <v>0</v>
      </c>
      <c r="K113" s="50" t="n">
        <f aca="false">I113+J113</f>
        <v>4</v>
      </c>
      <c r="L113" s="2" t="n">
        <f aca="false">ROUND(K113*60,0)</f>
        <v>240</v>
      </c>
      <c r="M113" s="51" t="n">
        <f aca="false">I113*Assumptions!$B$4</f>
        <v>380</v>
      </c>
      <c r="N113" s="52" t="s">
        <v>238</v>
      </c>
      <c r="O113" s="2" t="s">
        <v>491</v>
      </c>
      <c r="P113" s="2" t="s">
        <v>61</v>
      </c>
    </row>
    <row r="114" customFormat="false" ht="15" hidden="false" customHeight="false" outlineLevel="0" collapsed="false">
      <c r="A114" s="2" t="s">
        <v>61</v>
      </c>
      <c r="B114" s="2" t="s">
        <v>501</v>
      </c>
      <c r="C114" s="2" t="s">
        <v>282</v>
      </c>
      <c r="D114" s="59" t="n">
        <v>46325</v>
      </c>
      <c r="E114" s="2" t="s">
        <v>493</v>
      </c>
      <c r="F114" s="2" t="s">
        <v>486</v>
      </c>
      <c r="G114" s="2" t="s">
        <v>21</v>
      </c>
      <c r="H114" s="2" t="s">
        <v>487</v>
      </c>
      <c r="I114" s="45" t="n">
        <f aca="false">INDEX('Recurring Budgets'!$F$2:$F$125,MATCH(P114,'Recurring Budgets'!$A$2:$A$125,0))</f>
        <v>0.5833</v>
      </c>
      <c r="J114" s="45" t="n">
        <f aca="false">INDEX('Recurring Budgets'!$G$2:$G$125,MATCH(P114,'Recurring Budgets'!$A$2:$A$125,0))</f>
        <v>0</v>
      </c>
      <c r="K114" s="50" t="n">
        <f aca="false">I114+J114</f>
        <v>0.5833</v>
      </c>
      <c r="L114" s="2" t="n">
        <f aca="false">ROUND(K114*60,0)</f>
        <v>35</v>
      </c>
      <c r="M114" s="51" t="n">
        <f aca="false">INDEX('Recurring Budgets'!$M$2:$M$125,MATCH(P114,'Recurring Budgets'!$A$2:$A$125,0))</f>
        <v>55.4135</v>
      </c>
      <c r="N114" s="39" t="str">
        <f aca="false">INDEX('Recurring Budgets'!$P$2:$P$125,MATCH(P114,'Recurring Budgets'!$A$2:$A$125,0))</f>
        <v>High</v>
      </c>
      <c r="O114" s="39" t="str">
        <f aca="false">INDEX('Recurring Budgets'!$Q$2:$Q$125,MATCH(P114,'Recurring Budgets'!$A$2:$A$125,0))</f>
        <v>Year-end/tax hours Oct 2025–Sep 2026 (0.6h).</v>
      </c>
      <c r="P114" s="2" t="s">
        <v>397</v>
      </c>
    </row>
    <row r="115" customFormat="false" ht="15" hidden="false" customHeight="false" outlineLevel="0" collapsed="false">
      <c r="A115" s="2" t="s">
        <v>61</v>
      </c>
      <c r="B115" s="2" t="s">
        <v>492</v>
      </c>
      <c r="C115" s="2" t="s">
        <v>242</v>
      </c>
      <c r="D115" s="59" t="n">
        <v>46325</v>
      </c>
      <c r="E115" s="2" t="s">
        <v>493</v>
      </c>
      <c r="F115" s="2" t="s">
        <v>495</v>
      </c>
      <c r="G115" s="2" t="s">
        <v>15</v>
      </c>
      <c r="H115" s="2" t="s">
        <v>487</v>
      </c>
      <c r="I115" s="45" t="n">
        <f aca="false">INDEX('Recurring Budgets'!$F$2:$F$125,MATCH(P115,'Recurring Budgets'!$A$2:$A$125,0))</f>
        <v>5.75</v>
      </c>
      <c r="J115" s="45" t="n">
        <f aca="false">INDEX('Recurring Budgets'!$G$2:$G$125,MATCH(P115,'Recurring Budgets'!$A$2:$A$125,0))</f>
        <v>0.7</v>
      </c>
      <c r="K115" s="50" t="n">
        <f aca="false">I115+J115</f>
        <v>6.45</v>
      </c>
      <c r="L115" s="2" t="n">
        <f aca="false">ROUND(K115*60,0)</f>
        <v>387</v>
      </c>
      <c r="M115" s="51" t="n">
        <f aca="false">INDEX('Recurring Budgets'!$M$2:$M$125,MATCH(P115,'Recurring Budgets'!$A$2:$A$125,0))</f>
        <v>721.25</v>
      </c>
      <c r="N115" s="39" t="str">
        <f aca="false">INDEX('Recurring Budgets'!$P$2:$P$125,MATCH(P115,'Recurring Budgets'!$A$2:$A$125,0))</f>
        <v>High</v>
      </c>
      <c r="O115" s="39" t="str">
        <f aca="false">INDEX('Recurring Budgets'!$Q$2:$Q$125,MATCH(P115,'Recurring Budgets'!$A$2:$A$125,0))</f>
        <v>Includes Month-end 5.4, Bookkeeping 0.1, Sales tax 0.4, CFO advisory 0.1. Less 0.5h budgeted on "Monthly Reports and Bank Statements". Review = median of 7 closes reviewed in Harvest (0.70h).</v>
      </c>
      <c r="P115" s="2" t="s">
        <v>399</v>
      </c>
    </row>
    <row r="116" customFormat="false" ht="15" hidden="false" customHeight="false" outlineLevel="0" collapsed="false">
      <c r="A116" s="2" t="s">
        <v>63</v>
      </c>
      <c r="B116" s="2" t="s">
        <v>501</v>
      </c>
      <c r="C116" s="2" t="s">
        <v>282</v>
      </c>
      <c r="D116" s="59" t="n">
        <v>46325</v>
      </c>
      <c r="E116" s="2" t="s">
        <v>485</v>
      </c>
      <c r="F116" s="2" t="s">
        <v>486</v>
      </c>
      <c r="G116" s="2" t="s">
        <v>21</v>
      </c>
      <c r="H116" s="2" t="s">
        <v>487</v>
      </c>
      <c r="I116" s="45" t="n">
        <f aca="false">INDEX('Recurring Budgets'!$F$2:$F$125,MATCH(P116,'Recurring Budgets'!$A$2:$A$125,0))</f>
        <v>0.1667</v>
      </c>
      <c r="J116" s="45" t="n">
        <f aca="false">INDEX('Recurring Budgets'!$G$2:$G$125,MATCH(P116,'Recurring Budgets'!$A$2:$A$125,0))</f>
        <v>0</v>
      </c>
      <c r="K116" s="50" t="n">
        <f aca="false">I116+J116</f>
        <v>0.1667</v>
      </c>
      <c r="L116" s="2" t="n">
        <f aca="false">ROUND(K116*60,0)</f>
        <v>10</v>
      </c>
      <c r="M116" s="51" t="n">
        <f aca="false">INDEX('Recurring Budgets'!$M$2:$M$125,MATCH(P116,'Recurring Budgets'!$A$2:$A$125,0))</f>
        <v>15.8365</v>
      </c>
      <c r="N116" s="39" t="str">
        <f aca="false">INDEX('Recurring Budgets'!$P$2:$P$125,MATCH(P116,'Recurring Budgets'!$A$2:$A$125,0))</f>
        <v>High</v>
      </c>
      <c r="O116" s="39" t="str">
        <f aca="false">INDEX('Recurring Budgets'!$Q$2:$Q$125,MATCH(P116,'Recurring Budgets'!$A$2:$A$125,0))</f>
        <v>Year-end/tax hours Oct 2025–Sep 2026 (0.1h).</v>
      </c>
      <c r="P116" s="2" t="s">
        <v>403</v>
      </c>
    </row>
    <row r="117" customFormat="false" ht="15" hidden="false" customHeight="false" outlineLevel="0" collapsed="false">
      <c r="A117" s="2" t="s">
        <v>63</v>
      </c>
      <c r="B117" s="2" t="s">
        <v>494</v>
      </c>
      <c r="C117" s="2" t="s">
        <v>248</v>
      </c>
      <c r="D117" s="59" t="n">
        <v>46325</v>
      </c>
      <c r="E117" s="2" t="s">
        <v>493</v>
      </c>
      <c r="F117" s="2" t="s">
        <v>495</v>
      </c>
      <c r="G117" s="2" t="s">
        <v>13</v>
      </c>
      <c r="H117" s="2" t="s">
        <v>487</v>
      </c>
      <c r="I117" s="45" t="n">
        <f aca="false">INDEX('Recurring Budgets'!$F$2:$F$125,MATCH(P117,'Recurring Budgets'!$A$2:$A$125,0))</f>
        <v>1</v>
      </c>
      <c r="J117" s="45" t="n">
        <f aca="false">INDEX('Recurring Budgets'!$G$2:$G$125,MATCH(P117,'Recurring Budgets'!$A$2:$A$125,0))</f>
        <v>1</v>
      </c>
      <c r="K117" s="50" t="n">
        <f aca="false">I117+J117</f>
        <v>2</v>
      </c>
      <c r="L117" s="2" t="n">
        <f aca="false">ROUND(K117*60,0)</f>
        <v>120</v>
      </c>
      <c r="M117" s="51" t="n">
        <f aca="false">INDEX('Recurring Budgets'!$M$2:$M$125,MATCH(P117,'Recurring Budgets'!$A$2:$A$125,0))</f>
        <v>345</v>
      </c>
      <c r="N117" s="39" t="str">
        <f aca="false">INDEX('Recurring Budgets'!$P$2:$P$125,MATCH(P117,'Recurring Budgets'!$A$2:$A$125,0))</f>
        <v>High</v>
      </c>
      <c r="O117" s="39" t="str">
        <f aca="false">INDEX('Recurring Budgets'!$Q$2:$Q$125,MATCH(P117,'Recurring Budgets'!$A$2:$A$125,0))</f>
        <v>Includes Month-end 1.0. Review = 1.00h as logged (only 2 reviewed close(s) in Harvest – check).</v>
      </c>
      <c r="P117" s="2" t="s">
        <v>405</v>
      </c>
    </row>
    <row r="118" customFormat="false" ht="15" hidden="false" customHeight="false" outlineLevel="0" collapsed="false">
      <c r="A118" s="2" t="s">
        <v>64</v>
      </c>
      <c r="B118" s="2" t="s">
        <v>121</v>
      </c>
      <c r="C118" s="2" t="s">
        <v>502</v>
      </c>
      <c r="D118" s="59" t="n">
        <v>46295</v>
      </c>
      <c r="E118" s="2" t="s">
        <v>503</v>
      </c>
      <c r="F118" s="2" t="s">
        <v>504</v>
      </c>
      <c r="G118" s="2" t="s">
        <v>108</v>
      </c>
      <c r="H118" s="2" t="s">
        <v>505</v>
      </c>
      <c r="I118" s="44" t="n">
        <v>5.5</v>
      </c>
      <c r="J118" s="44" t="n">
        <v>0</v>
      </c>
      <c r="K118" s="50" t="n">
        <f aca="false">I118+J118</f>
        <v>5.5</v>
      </c>
      <c r="L118" s="2" t="n">
        <f aca="false">ROUND(K118*60,0)</f>
        <v>330</v>
      </c>
      <c r="M118" s="51" t="n">
        <f aca="false">I118*Assumptions!$B$4+J118*Assumptions!$B$5</f>
        <v>522.5</v>
      </c>
      <c r="N118" s="52" t="s">
        <v>238</v>
      </c>
      <c r="O118" s="2" t="s">
        <v>538</v>
      </c>
      <c r="P118" s="2"/>
    </row>
    <row r="119" customFormat="false" ht="15" hidden="false" customHeight="false" outlineLevel="0" collapsed="false">
      <c r="A119" s="2" t="s">
        <v>64</v>
      </c>
      <c r="B119" s="2" t="s">
        <v>522</v>
      </c>
      <c r="C119" s="2" t="s">
        <v>287</v>
      </c>
      <c r="D119" s="59" t="n">
        <v>46295</v>
      </c>
      <c r="E119" s="2" t="s">
        <v>525</v>
      </c>
      <c r="F119" s="2" t="s">
        <v>495</v>
      </c>
      <c r="G119" s="2" t="s">
        <v>30</v>
      </c>
      <c r="H119" s="2" t="s">
        <v>487</v>
      </c>
      <c r="I119" s="45" t="n">
        <f aca="false">INDEX('Recurring Budgets'!$F$2:$F$125,MATCH(P119,'Recurring Budgets'!$A$2:$A$125,0))</f>
        <v>0.1667</v>
      </c>
      <c r="J119" s="45" t="n">
        <f aca="false">INDEX('Recurring Budgets'!$G$2:$G$125,MATCH(P119,'Recurring Budgets'!$A$2:$A$125,0))</f>
        <v>0</v>
      </c>
      <c r="K119" s="50" t="n">
        <f aca="false">I119+J119</f>
        <v>0.1667</v>
      </c>
      <c r="L119" s="2" t="n">
        <f aca="false">ROUND(K119*60,0)</f>
        <v>10</v>
      </c>
      <c r="M119" s="51" t="n">
        <f aca="false">INDEX('Recurring Budgets'!$M$2:$M$125,MATCH(P119,'Recurring Budgets'!$A$2:$A$125,0))</f>
        <v>15.8365</v>
      </c>
      <c r="N119" s="39" t="str">
        <f aca="false">INDEX('Recurring Budgets'!$P$2:$P$125,MATCH(P119,'Recurring Budgets'!$A$2:$A$125,0))</f>
        <v>Medium</v>
      </c>
      <c r="O119" s="39" t="str">
        <f aca="false">INDEX('Recurring Budgets'!$Q$2:$Q$125,MATCH(P119,'Recurring Budgets'!$A$2:$A$125,0))</f>
        <v>T5 history (Jul–Sep 2026): group bill pay/AP.</v>
      </c>
      <c r="P119" s="2" t="s">
        <v>409</v>
      </c>
    </row>
    <row r="120" customFormat="false" ht="15" hidden="false" customHeight="false" outlineLevel="0" collapsed="false">
      <c r="A120" s="2" t="s">
        <v>64</v>
      </c>
      <c r="B120" s="2" t="s">
        <v>539</v>
      </c>
      <c r="C120" s="2" t="s">
        <v>287</v>
      </c>
      <c r="D120" s="59" t="n">
        <v>46296</v>
      </c>
      <c r="E120" s="2" t="s">
        <v>525</v>
      </c>
      <c r="F120" s="2" t="s">
        <v>504</v>
      </c>
      <c r="G120" s="2" t="s">
        <v>66</v>
      </c>
      <c r="H120" s="2" t="s">
        <v>487</v>
      </c>
      <c r="I120" s="45" t="n">
        <f aca="false">INDEX('Recurring Budgets'!$F$2:$F$125,MATCH(P120,'Recurring Budgets'!$A$2:$A$125,0))</f>
        <v>0.0833</v>
      </c>
      <c r="J120" s="45" t="n">
        <f aca="false">INDEX('Recurring Budgets'!$G$2:$G$125,MATCH(P120,'Recurring Budgets'!$A$2:$A$125,0))</f>
        <v>0</v>
      </c>
      <c r="K120" s="50" t="n">
        <f aca="false">I120+J120</f>
        <v>0.0833</v>
      </c>
      <c r="L120" s="2" t="n">
        <f aca="false">ROUND(K120*60,0)</f>
        <v>5</v>
      </c>
      <c r="M120" s="51" t="n">
        <f aca="false">INDEX('Recurring Budgets'!$M$2:$M$125,MATCH(P120,'Recurring Budgets'!$A$2:$A$125,0))</f>
        <v>7.9135</v>
      </c>
      <c r="N120" s="39" t="str">
        <f aca="false">INDEX('Recurring Budgets'!$P$2:$P$125,MATCH(P120,'Recurring Budgets'!$A$2:$A$125,0))</f>
        <v>Medium</v>
      </c>
      <c r="O120" s="39" t="str">
        <f aca="false">INDEX('Recurring Budgets'!$Q$2:$Q$125,MATCH(P120,'Recurring Budgets'!$A$2:$A$125,0))</f>
        <v>T5 history (Jul–Sep 2026): daily account/fraud checks.</v>
      </c>
      <c r="P120" s="2" t="s">
        <v>407</v>
      </c>
    </row>
    <row r="121" customFormat="false" ht="15" hidden="false" customHeight="false" outlineLevel="0" collapsed="false">
      <c r="A121" s="2" t="s">
        <v>64</v>
      </c>
      <c r="B121" s="2" t="s">
        <v>540</v>
      </c>
      <c r="C121" s="2" t="s">
        <v>287</v>
      </c>
      <c r="D121" s="59" t="n">
        <v>46297</v>
      </c>
      <c r="E121" s="2" t="s">
        <v>525</v>
      </c>
      <c r="F121" s="2" t="s">
        <v>489</v>
      </c>
      <c r="G121" s="2" t="s">
        <v>66</v>
      </c>
      <c r="H121" s="2" t="s">
        <v>487</v>
      </c>
      <c r="I121" s="45" t="n">
        <f aca="false">INDEX('Recurring Budgets'!$F$2:$F$125,MATCH(P121,'Recurring Budgets'!$A$2:$A$125,0))</f>
        <v>0.0833</v>
      </c>
      <c r="J121" s="45" t="n">
        <f aca="false">INDEX('Recurring Budgets'!$G$2:$G$125,MATCH(P121,'Recurring Budgets'!$A$2:$A$125,0))</f>
        <v>0</v>
      </c>
      <c r="K121" s="50" t="n">
        <f aca="false">I121+J121</f>
        <v>0.0833</v>
      </c>
      <c r="L121" s="2" t="n">
        <f aca="false">ROUND(K121*60,0)</f>
        <v>5</v>
      </c>
      <c r="M121" s="51" t="n">
        <f aca="false">INDEX('Recurring Budgets'!$M$2:$M$125,MATCH(P121,'Recurring Budgets'!$A$2:$A$125,0))</f>
        <v>7.9135</v>
      </c>
      <c r="N121" s="39" t="str">
        <f aca="false">INDEX('Recurring Budgets'!$P$2:$P$125,MATCH(P121,'Recurring Budgets'!$A$2:$A$125,0))</f>
        <v>Medium</v>
      </c>
      <c r="O121" s="39" t="str">
        <f aca="false">INDEX('Recurring Budgets'!$Q$2:$Q$125,MATCH(P121,'Recurring Budgets'!$A$2:$A$125,0))</f>
        <v>T5 history (Jul–Sep 2026): daily account/fraud checks.</v>
      </c>
      <c r="P121" s="2" t="s">
        <v>407</v>
      </c>
    </row>
    <row r="122" customFormat="false" ht="15" hidden="false" customHeight="false" outlineLevel="0" collapsed="false">
      <c r="A122" s="2" t="s">
        <v>64</v>
      </c>
      <c r="B122" s="2" t="s">
        <v>541</v>
      </c>
      <c r="C122" s="2" t="s">
        <v>287</v>
      </c>
      <c r="D122" s="59" t="n">
        <v>46300</v>
      </c>
      <c r="E122" s="2" t="s">
        <v>525</v>
      </c>
      <c r="F122" s="2" t="s">
        <v>489</v>
      </c>
      <c r="G122" s="2" t="s">
        <v>30</v>
      </c>
      <c r="H122" s="2" t="s">
        <v>487</v>
      </c>
      <c r="I122" s="45" t="n">
        <f aca="false">INDEX('Recurring Budgets'!$F$2:$F$125,MATCH(P122,'Recurring Budgets'!$A$2:$A$125,0))</f>
        <v>1.1667</v>
      </c>
      <c r="J122" s="45" t="n">
        <f aca="false">INDEX('Recurring Budgets'!$G$2:$G$125,MATCH(P122,'Recurring Budgets'!$A$2:$A$125,0))</f>
        <v>0</v>
      </c>
      <c r="K122" s="50" t="n">
        <f aca="false">I122+J122</f>
        <v>1.1667</v>
      </c>
      <c r="L122" s="2" t="n">
        <f aca="false">ROUND(K122*60,0)</f>
        <v>70</v>
      </c>
      <c r="M122" s="51" t="n">
        <f aca="false">INDEX('Recurring Budgets'!$M$2:$M$125,MATCH(P122,'Recurring Budgets'!$A$2:$A$125,0))</f>
        <v>110.8365</v>
      </c>
      <c r="N122" s="39" t="str">
        <f aca="false">INDEX('Recurring Budgets'!$P$2:$P$125,MATCH(P122,'Recurring Budgets'!$A$2:$A$125,0))</f>
        <v>Medium</v>
      </c>
      <c r="O122" s="39" t="str">
        <f aca="false">INDEX('Recurring Budgets'!$Q$2:$Q$125,MATCH(P122,'Recurring Budgets'!$A$2:$A$125,0))</f>
        <v>T5 history (Jul–Sep 2026): weekly cash review.</v>
      </c>
      <c r="P122" s="2" t="s">
        <v>411</v>
      </c>
    </row>
    <row r="123" customFormat="false" ht="15" hidden="false" customHeight="false" outlineLevel="0" collapsed="false">
      <c r="A123" s="2" t="s">
        <v>64</v>
      </c>
      <c r="B123" s="2" t="s">
        <v>523</v>
      </c>
      <c r="C123" s="2" t="s">
        <v>287</v>
      </c>
      <c r="D123" s="59" t="n">
        <v>46302</v>
      </c>
      <c r="E123" s="2" t="s">
        <v>525</v>
      </c>
      <c r="F123" s="2" t="s">
        <v>489</v>
      </c>
      <c r="G123" s="2" t="s">
        <v>30</v>
      </c>
      <c r="H123" s="2" t="s">
        <v>487</v>
      </c>
      <c r="I123" s="45" t="n">
        <f aca="false">INDEX('Recurring Budgets'!$F$2:$F$125,MATCH(P123,'Recurring Budgets'!$A$2:$A$125,0))</f>
        <v>0.1667</v>
      </c>
      <c r="J123" s="45" t="n">
        <f aca="false">INDEX('Recurring Budgets'!$G$2:$G$125,MATCH(P123,'Recurring Budgets'!$A$2:$A$125,0))</f>
        <v>0</v>
      </c>
      <c r="K123" s="50" t="n">
        <f aca="false">I123+J123</f>
        <v>0.1667</v>
      </c>
      <c r="L123" s="2" t="n">
        <f aca="false">ROUND(K123*60,0)</f>
        <v>10</v>
      </c>
      <c r="M123" s="51" t="n">
        <f aca="false">INDEX('Recurring Budgets'!$M$2:$M$125,MATCH(P123,'Recurring Budgets'!$A$2:$A$125,0))</f>
        <v>15.8365</v>
      </c>
      <c r="N123" s="39" t="str">
        <f aca="false">INDEX('Recurring Budgets'!$P$2:$P$125,MATCH(P123,'Recurring Budgets'!$A$2:$A$125,0))</f>
        <v>Medium</v>
      </c>
      <c r="O123" s="39" t="str">
        <f aca="false">INDEX('Recurring Budgets'!$Q$2:$Q$125,MATCH(P123,'Recurring Budgets'!$A$2:$A$125,0))</f>
        <v>T5 history (Jul–Sep 2026): group bill pay/AP.</v>
      </c>
      <c r="P123" s="2" t="s">
        <v>409</v>
      </c>
    </row>
    <row r="124" customFormat="false" ht="15" hidden="false" customHeight="false" outlineLevel="0" collapsed="false">
      <c r="A124" s="2" t="s">
        <v>68</v>
      </c>
      <c r="B124" s="2" t="s">
        <v>122</v>
      </c>
      <c r="C124" s="2" t="s">
        <v>502</v>
      </c>
      <c r="D124" s="59" t="n">
        <v>46265</v>
      </c>
      <c r="E124" s="2" t="s">
        <v>485</v>
      </c>
      <c r="F124" s="2" t="s">
        <v>511</v>
      </c>
      <c r="G124" s="2" t="s">
        <v>108</v>
      </c>
      <c r="H124" s="2" t="s">
        <v>505</v>
      </c>
      <c r="I124" s="44" t="n">
        <v>4</v>
      </c>
      <c r="J124" s="44" t="n">
        <v>0</v>
      </c>
      <c r="K124" s="50" t="n">
        <f aca="false">I124+J124</f>
        <v>4</v>
      </c>
      <c r="L124" s="2" t="n">
        <f aca="false">ROUND(K124*60,0)</f>
        <v>240</v>
      </c>
      <c r="M124" s="51" t="n">
        <f aca="false">I124*Assumptions!$B$4+J124*Assumptions!$B$5</f>
        <v>380</v>
      </c>
      <c r="N124" s="52" t="s">
        <v>238</v>
      </c>
      <c r="O124" s="2" t="s">
        <v>542</v>
      </c>
      <c r="P124" s="2"/>
    </row>
    <row r="125" customFormat="false" ht="15" hidden="false" customHeight="false" outlineLevel="0" collapsed="false">
      <c r="A125" s="2" t="s">
        <v>68</v>
      </c>
      <c r="B125" s="2" t="s">
        <v>492</v>
      </c>
      <c r="C125" s="2" t="s">
        <v>242</v>
      </c>
      <c r="D125" s="59" t="n">
        <v>46316</v>
      </c>
      <c r="E125" s="2" t="s">
        <v>493</v>
      </c>
      <c r="F125" s="2" t="s">
        <v>495</v>
      </c>
      <c r="G125" s="2" t="s">
        <v>15</v>
      </c>
      <c r="H125" s="2" t="s">
        <v>487</v>
      </c>
      <c r="I125" s="45" t="n">
        <f aca="false">INDEX('Recurring Budgets'!$F$2:$F$125,MATCH(P125,'Recurring Budgets'!$A$2:$A$125,0))</f>
        <v>1.8333</v>
      </c>
      <c r="J125" s="45" t="n">
        <f aca="false">INDEX('Recurring Budgets'!$G$2:$G$125,MATCH(P125,'Recurring Budgets'!$A$2:$A$125,0))</f>
        <v>1</v>
      </c>
      <c r="K125" s="50" t="n">
        <f aca="false">I125+J125</f>
        <v>2.8333</v>
      </c>
      <c r="L125" s="2" t="n">
        <f aca="false">ROUND(K125*60,0)</f>
        <v>170</v>
      </c>
      <c r="M125" s="51" t="n">
        <f aca="false">INDEX('Recurring Budgets'!$M$2:$M$125,MATCH(P125,'Recurring Budgets'!$A$2:$A$125,0))</f>
        <v>424.1635</v>
      </c>
      <c r="N125" s="39" t="str">
        <f aca="false">INDEX('Recurring Budgets'!$P$2:$P$125,MATCH(P125,'Recurring Budgets'!$A$2:$A$125,0))</f>
        <v>High</v>
      </c>
      <c r="O125" s="39" t="str">
        <f aca="false">INDEX('Recurring Budgets'!$Q$2:$Q$125,MATCH(P125,'Recurring Budgets'!$A$2:$A$125,0))</f>
        <v>Includes Month-end 1.3, Payroll 1.1, CFO advisory 0.1. Review = median of 5 closes reviewed in Harvest (1.00h).</v>
      </c>
      <c r="P125" s="2" t="s">
        <v>414</v>
      </c>
    </row>
    <row r="126" customFormat="false" ht="15" hidden="false" customHeight="false" outlineLevel="0" collapsed="false">
      <c r="A126" s="2" t="s">
        <v>68</v>
      </c>
      <c r="B126" s="2" t="s">
        <v>237</v>
      </c>
      <c r="C126" s="2" t="s">
        <v>170</v>
      </c>
      <c r="D126" s="59" t="n">
        <v>46325</v>
      </c>
      <c r="E126" s="2" t="s">
        <v>488</v>
      </c>
      <c r="F126" s="2" t="s">
        <v>489</v>
      </c>
      <c r="G126" s="2" t="s">
        <v>170</v>
      </c>
      <c r="H126" s="2" t="s">
        <v>490</v>
      </c>
      <c r="I126" s="45" t="n">
        <f aca="false">INDEX('1099 Oct 30'!$F$5:$F$45,MATCH(P126,'1099 Oct 30'!$A$5:$A$45,0))</f>
        <v>2</v>
      </c>
      <c r="J126" s="44" t="n">
        <v>0</v>
      </c>
      <c r="K126" s="50" t="n">
        <f aca="false">I126+J126</f>
        <v>2</v>
      </c>
      <c r="L126" s="2" t="n">
        <f aca="false">ROUND(K126*60,0)</f>
        <v>120</v>
      </c>
      <c r="M126" s="51" t="n">
        <f aca="false">I126*Assumptions!$B$4</f>
        <v>190</v>
      </c>
      <c r="N126" s="52" t="s">
        <v>238</v>
      </c>
      <c r="O126" s="2" t="s">
        <v>491</v>
      </c>
      <c r="P126" s="2" t="s">
        <v>68</v>
      </c>
    </row>
    <row r="127" customFormat="false" ht="15" hidden="false" customHeight="false" outlineLevel="0" collapsed="false">
      <c r="A127" s="2" t="s">
        <v>69</v>
      </c>
      <c r="B127" s="2" t="s">
        <v>497</v>
      </c>
      <c r="C127" s="2" t="s">
        <v>254</v>
      </c>
      <c r="D127" s="59" t="n">
        <v>46265</v>
      </c>
      <c r="E127" s="2" t="s">
        <v>498</v>
      </c>
      <c r="F127" s="2" t="s">
        <v>511</v>
      </c>
      <c r="G127" s="2" t="s">
        <v>21</v>
      </c>
      <c r="H127" s="2" t="s">
        <v>487</v>
      </c>
      <c r="I127" s="45" t="n">
        <f aca="false">INDEX('Recurring Budgets'!$F$2:$F$125,MATCH(P127,'Recurring Budgets'!$A$2:$A$125,0))</f>
        <v>0.3333</v>
      </c>
      <c r="J127" s="45" t="n">
        <f aca="false">INDEX('Recurring Budgets'!$G$2:$G$125,MATCH(P127,'Recurring Budgets'!$A$2:$A$125,0))</f>
        <v>0</v>
      </c>
      <c r="K127" s="50" t="n">
        <f aca="false">I127+J127</f>
        <v>0.3333</v>
      </c>
      <c r="L127" s="2" t="n">
        <f aca="false">ROUND(K127*60,0)</f>
        <v>20</v>
      </c>
      <c r="M127" s="51" t="n">
        <f aca="false">INDEX('Recurring Budgets'!$M$2:$M$125,MATCH(P127,'Recurring Budgets'!$A$2:$A$125,0))</f>
        <v>31.6635</v>
      </c>
      <c r="N127" s="39" t="str">
        <f aca="false">INDEX('Recurring Budgets'!$P$2:$P$125,MATCH(P127,'Recurring Budgets'!$A$2:$A$125,0))</f>
        <v>High</v>
      </c>
      <c r="O127" s="39" t="str">
        <f aca="false">INDEX('Recurring Budgets'!$Q$2:$Q$125,MATCH(P127,'Recurring Budgets'!$A$2:$A$125,0))</f>
        <v>Year-end/tax hours Oct 2025–Sep 2026 (0.3h). Little recent history (backlog not yet worked). Close set at 1.0h from 2025 pattern, adjusted for contractor under-recording.</v>
      </c>
      <c r="P127" s="2" t="s">
        <v>418</v>
      </c>
    </row>
    <row r="128" customFormat="false" ht="15" hidden="false" customHeight="false" outlineLevel="0" collapsed="false">
      <c r="A128" s="2" t="s">
        <v>69</v>
      </c>
      <c r="B128" s="2" t="s">
        <v>543</v>
      </c>
      <c r="C128" s="2" t="s">
        <v>251</v>
      </c>
      <c r="D128" s="59" t="n">
        <v>46314</v>
      </c>
      <c r="E128" s="2" t="s">
        <v>503</v>
      </c>
      <c r="F128" s="2" t="s">
        <v>495</v>
      </c>
      <c r="G128" s="2" t="s">
        <v>15</v>
      </c>
      <c r="H128" s="2" t="s">
        <v>487</v>
      </c>
      <c r="I128" s="45" t="n">
        <f aca="false">INDEX('Recurring Budgets'!$F$2:$F$125,MATCH(P128,'Recurring Budgets'!$A$2:$A$125,0))</f>
        <v>0.25</v>
      </c>
      <c r="J128" s="45" t="n">
        <f aca="false">INDEX('Recurring Budgets'!$G$2:$G$125,MATCH(P128,'Recurring Budgets'!$A$2:$A$125,0))</f>
        <v>0</v>
      </c>
      <c r="K128" s="50" t="n">
        <f aca="false">I128+J128</f>
        <v>0.25</v>
      </c>
      <c r="L128" s="2" t="n">
        <f aca="false">ROUND(K128*60,0)</f>
        <v>15</v>
      </c>
      <c r="M128" s="51" t="n">
        <f aca="false">INDEX('Recurring Budgets'!$M$2:$M$125,MATCH(P128,'Recurring Budgets'!$A$2:$A$125,0))</f>
        <v>23.75</v>
      </c>
      <c r="N128" s="39" t="str">
        <f aca="false">INDEX('Recurring Budgets'!$P$2:$P$125,MATCH(P128,'Recurring Budgets'!$A$2:$A$125,0))</f>
        <v>Estimate</v>
      </c>
      <c r="O128" s="39" t="str">
        <f aca="false">INDEX('Recurring Budgets'!$Q$2:$Q$125,MATCH(P128,'Recurring Budgets'!$A$2:$A$125,0))</f>
        <v>Sales tax time per month. Little logged time – minimum applied. Little recent history (backlog not yet worked). Close set at 1.0h from 2025 pattern, adjusted for contractor under-recording.</v>
      </c>
      <c r="P128" s="2" t="s">
        <v>422</v>
      </c>
    </row>
    <row r="129" customFormat="false" ht="15" hidden="false" customHeight="false" outlineLevel="0" collapsed="false">
      <c r="A129" s="2" t="s">
        <v>69</v>
      </c>
      <c r="B129" s="2" t="s">
        <v>492</v>
      </c>
      <c r="C129" s="2" t="s">
        <v>242</v>
      </c>
      <c r="D129" s="59" t="n">
        <v>46321</v>
      </c>
      <c r="E129" s="2" t="s">
        <v>503</v>
      </c>
      <c r="F129" s="2" t="s">
        <v>495</v>
      </c>
      <c r="G129" s="2" t="s">
        <v>15</v>
      </c>
      <c r="H129" s="2" t="s">
        <v>487</v>
      </c>
      <c r="I129" s="45" t="n">
        <f aca="false">INDEX('Recurring Budgets'!$F$2:$F$125,MATCH(P129,'Recurring Budgets'!$A$2:$A$125,0))</f>
        <v>1</v>
      </c>
      <c r="J129" s="45" t="n">
        <f aca="false">INDEX('Recurring Budgets'!$G$2:$G$125,MATCH(P129,'Recurring Budgets'!$A$2:$A$125,0))</f>
        <v>0.5</v>
      </c>
      <c r="K129" s="50" t="n">
        <f aca="false">I129+J129</f>
        <v>1.5</v>
      </c>
      <c r="L129" s="2" t="n">
        <f aca="false">ROUND(K129*60,0)</f>
        <v>90</v>
      </c>
      <c r="M129" s="51" t="n">
        <f aca="false">INDEX('Recurring Budgets'!$M$2:$M$125,MATCH(P129,'Recurring Budgets'!$A$2:$A$125,0))</f>
        <v>220</v>
      </c>
      <c r="N129" s="39" t="str">
        <f aca="false">INDEX('Recurring Budgets'!$P$2:$P$125,MATCH(P129,'Recurring Budgets'!$A$2:$A$125,0))</f>
        <v>Estimate</v>
      </c>
      <c r="O129" s="39" t="str">
        <f aca="false">INDEX('Recurring Budgets'!$Q$2:$Q$125,MATCH(P129,'Recurring Budgets'!$A$2:$A$125,0))</f>
        <v>Little recent history (backlog not yet worked). Close set at 1.0h from 2025 pattern, adjusted for contractor under-recording. Review = 0.5h placeholder (no close reviews found in Harvest) – check.</v>
      </c>
      <c r="P129" s="2" t="s">
        <v>420</v>
      </c>
    </row>
    <row r="130" customFormat="false" ht="15" hidden="false" customHeight="false" outlineLevel="0" collapsed="false">
      <c r="A130" s="2" t="s">
        <v>69</v>
      </c>
      <c r="B130" s="2" t="s">
        <v>237</v>
      </c>
      <c r="C130" s="2" t="s">
        <v>170</v>
      </c>
      <c r="D130" s="59" t="n">
        <v>46325</v>
      </c>
      <c r="E130" s="2" t="s">
        <v>488</v>
      </c>
      <c r="F130" s="2" t="s">
        <v>489</v>
      </c>
      <c r="G130" s="2" t="s">
        <v>170</v>
      </c>
      <c r="H130" s="2" t="s">
        <v>490</v>
      </c>
      <c r="I130" s="45" t="n">
        <f aca="false">INDEX('1099 Oct 30'!$F$5:$F$45,MATCH(P130,'1099 Oct 30'!$A$5:$A$45,0))</f>
        <v>0.75</v>
      </c>
      <c r="J130" s="44" t="n">
        <v>0</v>
      </c>
      <c r="K130" s="50" t="n">
        <f aca="false">I130+J130</f>
        <v>0.75</v>
      </c>
      <c r="L130" s="2" t="n">
        <f aca="false">ROUND(K130*60,0)</f>
        <v>45</v>
      </c>
      <c r="M130" s="51" t="n">
        <f aca="false">I130*Assumptions!$B$4</f>
        <v>71.25</v>
      </c>
      <c r="N130" s="52" t="s">
        <v>238</v>
      </c>
      <c r="O130" s="2" t="s">
        <v>491</v>
      </c>
      <c r="P130" s="2" t="s">
        <v>69</v>
      </c>
    </row>
    <row r="131" customFormat="false" ht="15" hidden="false" customHeight="false" outlineLevel="0" collapsed="false">
      <c r="A131" s="2" t="s">
        <v>69</v>
      </c>
      <c r="B131" s="2" t="s">
        <v>99</v>
      </c>
      <c r="C131" s="2" t="s">
        <v>242</v>
      </c>
      <c r="D131" s="59" t="n">
        <v>46326</v>
      </c>
      <c r="E131" s="2" t="s">
        <v>503</v>
      </c>
      <c r="F131" s="2" t="s">
        <v>504</v>
      </c>
      <c r="G131" s="2" t="s">
        <v>15</v>
      </c>
      <c r="H131" s="2" t="s">
        <v>487</v>
      </c>
      <c r="I131" s="45" t="n">
        <f aca="false">INDEX('Recurring Budgets'!$F$2:$F$125,MATCH(P131,'Recurring Budgets'!$A$2:$A$125,0))</f>
        <v>1</v>
      </c>
      <c r="J131" s="45" t="n">
        <f aca="false">INDEX('Recurring Budgets'!$G$2:$G$125,MATCH(P131,'Recurring Budgets'!$A$2:$A$125,0))</f>
        <v>0.5</v>
      </c>
      <c r="K131" s="50" t="n">
        <f aca="false">I131+J131</f>
        <v>1.5</v>
      </c>
      <c r="L131" s="2" t="n">
        <f aca="false">ROUND(K131*60,0)</f>
        <v>90</v>
      </c>
      <c r="M131" s="51" t="n">
        <f aca="false">INDEX('Recurring Budgets'!$M$2:$M$125,MATCH(P131,'Recurring Budgets'!$A$2:$A$125,0))</f>
        <v>220</v>
      </c>
      <c r="N131" s="39" t="str">
        <f aca="false">INDEX('Recurring Budgets'!$P$2:$P$125,MATCH(P131,'Recurring Budgets'!$A$2:$A$125,0))</f>
        <v>Estimate</v>
      </c>
      <c r="O131" s="39" t="str">
        <f aca="false">INDEX('Recurring Budgets'!$Q$2:$Q$125,MATCH(P131,'Recurring Budgets'!$A$2:$A$125,0))</f>
        <v>Little recent history (backlog not yet worked). Close set at 1.0h from 2025 pattern, adjusted for contractor under-recording. Review = 0.5h placeholder (no close reviews found in Harvest) – check.</v>
      </c>
      <c r="P131" s="2" t="s">
        <v>420</v>
      </c>
    </row>
    <row r="132" customFormat="false" ht="15" hidden="false" customHeight="false" outlineLevel="0" collapsed="false">
      <c r="A132" s="2" t="s">
        <v>69</v>
      </c>
      <c r="B132" s="2" t="s">
        <v>484</v>
      </c>
      <c r="C132" s="2" t="s">
        <v>242</v>
      </c>
      <c r="D132" s="59" t="n">
        <v>46326</v>
      </c>
      <c r="E132" s="2" t="s">
        <v>503</v>
      </c>
      <c r="F132" s="2" t="s">
        <v>504</v>
      </c>
      <c r="G132" s="2" t="s">
        <v>15</v>
      </c>
      <c r="H132" s="2" t="s">
        <v>487</v>
      </c>
      <c r="I132" s="45" t="n">
        <f aca="false">INDEX('Recurring Budgets'!$F$2:$F$125,MATCH(P132,'Recurring Budgets'!$A$2:$A$125,0))</f>
        <v>1</v>
      </c>
      <c r="J132" s="45" t="n">
        <f aca="false">INDEX('Recurring Budgets'!$G$2:$G$125,MATCH(P132,'Recurring Budgets'!$A$2:$A$125,0))</f>
        <v>0.5</v>
      </c>
      <c r="K132" s="50" t="n">
        <f aca="false">I132+J132</f>
        <v>1.5</v>
      </c>
      <c r="L132" s="2" t="n">
        <f aca="false">ROUND(K132*60,0)</f>
        <v>90</v>
      </c>
      <c r="M132" s="51" t="n">
        <f aca="false">INDEX('Recurring Budgets'!$M$2:$M$125,MATCH(P132,'Recurring Budgets'!$A$2:$A$125,0))</f>
        <v>220</v>
      </c>
      <c r="N132" s="39" t="str">
        <f aca="false">INDEX('Recurring Budgets'!$P$2:$P$125,MATCH(P132,'Recurring Budgets'!$A$2:$A$125,0))</f>
        <v>Estimate</v>
      </c>
      <c r="O132" s="39" t="str">
        <f aca="false">INDEX('Recurring Budgets'!$Q$2:$Q$125,MATCH(P132,'Recurring Budgets'!$A$2:$A$125,0))</f>
        <v>Little recent history (backlog not yet worked). Close set at 1.0h from 2025 pattern, adjusted for contractor under-recording. Review = 0.5h placeholder (no close reviews found in Harvest) – check.</v>
      </c>
      <c r="P132" s="2" t="s">
        <v>420</v>
      </c>
    </row>
    <row r="133" customFormat="false" ht="15" hidden="false" customHeight="false" outlineLevel="0" collapsed="false">
      <c r="A133" s="2" t="s">
        <v>69</v>
      </c>
      <c r="B133" s="2" t="s">
        <v>97</v>
      </c>
      <c r="C133" s="2" t="s">
        <v>242</v>
      </c>
      <c r="D133" s="59" t="n">
        <v>46326</v>
      </c>
      <c r="E133" s="2" t="s">
        <v>503</v>
      </c>
      <c r="F133" s="2" t="s">
        <v>504</v>
      </c>
      <c r="G133" s="2" t="s">
        <v>15</v>
      </c>
      <c r="H133" s="2" t="s">
        <v>487</v>
      </c>
      <c r="I133" s="45" t="n">
        <f aca="false">INDEX('Recurring Budgets'!$F$2:$F$125,MATCH(P133,'Recurring Budgets'!$A$2:$A$125,0))</f>
        <v>1</v>
      </c>
      <c r="J133" s="45" t="n">
        <f aca="false">INDEX('Recurring Budgets'!$G$2:$G$125,MATCH(P133,'Recurring Budgets'!$A$2:$A$125,0))</f>
        <v>0.5</v>
      </c>
      <c r="K133" s="50" t="n">
        <f aca="false">I133+J133</f>
        <v>1.5</v>
      </c>
      <c r="L133" s="2" t="n">
        <f aca="false">ROUND(K133*60,0)</f>
        <v>90</v>
      </c>
      <c r="M133" s="51" t="n">
        <f aca="false">INDEX('Recurring Budgets'!$M$2:$M$125,MATCH(P133,'Recurring Budgets'!$A$2:$A$125,0))</f>
        <v>220</v>
      </c>
      <c r="N133" s="39" t="str">
        <f aca="false">INDEX('Recurring Budgets'!$P$2:$P$125,MATCH(P133,'Recurring Budgets'!$A$2:$A$125,0))</f>
        <v>Estimate</v>
      </c>
      <c r="O133" s="39" t="str">
        <f aca="false">INDEX('Recurring Budgets'!$Q$2:$Q$125,MATCH(P133,'Recurring Budgets'!$A$2:$A$125,0))</f>
        <v>Little recent history (backlog not yet worked). Close set at 1.0h from 2025 pattern, adjusted for contractor under-recording. Review = 0.5h placeholder (no close reviews found in Harvest) – check.</v>
      </c>
      <c r="P133" s="2" t="s">
        <v>420</v>
      </c>
    </row>
    <row r="134" customFormat="false" ht="15" hidden="false" customHeight="false" outlineLevel="0" collapsed="false">
      <c r="A134" s="2" t="s">
        <v>69</v>
      </c>
      <c r="B134" s="2" t="s">
        <v>95</v>
      </c>
      <c r="C134" s="2" t="s">
        <v>242</v>
      </c>
      <c r="D134" s="59" t="n">
        <v>46326</v>
      </c>
      <c r="E134" s="2" t="s">
        <v>503</v>
      </c>
      <c r="F134" s="2" t="s">
        <v>495</v>
      </c>
      <c r="G134" s="2" t="s">
        <v>15</v>
      </c>
      <c r="H134" s="2" t="s">
        <v>487</v>
      </c>
      <c r="I134" s="45" t="n">
        <f aca="false">INDEX('Recurring Budgets'!$F$2:$F$125,MATCH(P134,'Recurring Budgets'!$A$2:$A$125,0))</f>
        <v>1</v>
      </c>
      <c r="J134" s="45" t="n">
        <f aca="false">INDEX('Recurring Budgets'!$G$2:$G$125,MATCH(P134,'Recurring Budgets'!$A$2:$A$125,0))</f>
        <v>0.5</v>
      </c>
      <c r="K134" s="50" t="n">
        <f aca="false">I134+J134</f>
        <v>1.5</v>
      </c>
      <c r="L134" s="2" t="n">
        <f aca="false">ROUND(K134*60,0)</f>
        <v>90</v>
      </c>
      <c r="M134" s="51" t="n">
        <f aca="false">INDEX('Recurring Budgets'!$M$2:$M$125,MATCH(P134,'Recurring Budgets'!$A$2:$A$125,0))</f>
        <v>220</v>
      </c>
      <c r="N134" s="39" t="str">
        <f aca="false">INDEX('Recurring Budgets'!$P$2:$P$125,MATCH(P134,'Recurring Budgets'!$A$2:$A$125,0))</f>
        <v>Estimate</v>
      </c>
      <c r="O134" s="39" t="str">
        <f aca="false">INDEX('Recurring Budgets'!$Q$2:$Q$125,MATCH(P134,'Recurring Budgets'!$A$2:$A$125,0))</f>
        <v>Little recent history (backlog not yet worked). Close set at 1.0h from 2025 pattern, adjusted for contractor under-recording. Review = 0.5h placeholder (no close reviews found in Harvest) – check.</v>
      </c>
      <c r="P134" s="2" t="s">
        <v>420</v>
      </c>
    </row>
    <row r="135" customFormat="false" ht="15" hidden="false" customHeight="false" outlineLevel="0" collapsed="false">
      <c r="A135" s="2" t="s">
        <v>69</v>
      </c>
      <c r="B135" s="2" t="s">
        <v>102</v>
      </c>
      <c r="C135" s="2" t="s">
        <v>242</v>
      </c>
      <c r="D135" s="59" t="n">
        <v>46326</v>
      </c>
      <c r="E135" s="2" t="s">
        <v>503</v>
      </c>
      <c r="F135" s="2" t="s">
        <v>504</v>
      </c>
      <c r="G135" s="2" t="s">
        <v>15</v>
      </c>
      <c r="H135" s="2" t="s">
        <v>487</v>
      </c>
      <c r="I135" s="45" t="n">
        <f aca="false">INDEX('Recurring Budgets'!$F$2:$F$125,MATCH(P135,'Recurring Budgets'!$A$2:$A$125,0))</f>
        <v>1</v>
      </c>
      <c r="J135" s="45" t="n">
        <f aca="false">INDEX('Recurring Budgets'!$G$2:$G$125,MATCH(P135,'Recurring Budgets'!$A$2:$A$125,0))</f>
        <v>0.5</v>
      </c>
      <c r="K135" s="50" t="n">
        <f aca="false">I135+J135</f>
        <v>1.5</v>
      </c>
      <c r="L135" s="2" t="n">
        <f aca="false">ROUND(K135*60,0)</f>
        <v>90</v>
      </c>
      <c r="M135" s="51" t="n">
        <f aca="false">INDEX('Recurring Budgets'!$M$2:$M$125,MATCH(P135,'Recurring Budgets'!$A$2:$A$125,0))</f>
        <v>220</v>
      </c>
      <c r="N135" s="39" t="str">
        <f aca="false">INDEX('Recurring Budgets'!$P$2:$P$125,MATCH(P135,'Recurring Budgets'!$A$2:$A$125,0))</f>
        <v>Estimate</v>
      </c>
      <c r="O135" s="39" t="str">
        <f aca="false">INDEX('Recurring Budgets'!$Q$2:$Q$125,MATCH(P135,'Recurring Budgets'!$A$2:$A$125,0))</f>
        <v>Little recent history (backlog not yet worked). Close set at 1.0h from 2025 pattern, adjusted for contractor under-recording. Review = 0.5h placeholder (no close reviews found in Harvest) – check.</v>
      </c>
      <c r="P135" s="2" t="s">
        <v>420</v>
      </c>
    </row>
    <row r="136" customFormat="false" ht="15" hidden="false" customHeight="false" outlineLevel="0" collapsed="false">
      <c r="A136" s="2" t="s">
        <v>69</v>
      </c>
      <c r="B136" s="2" t="s">
        <v>101</v>
      </c>
      <c r="C136" s="2" t="s">
        <v>242</v>
      </c>
      <c r="D136" s="59" t="n">
        <v>46326</v>
      </c>
      <c r="E136" s="2" t="s">
        <v>503</v>
      </c>
      <c r="F136" s="2" t="s">
        <v>504</v>
      </c>
      <c r="G136" s="2" t="s">
        <v>15</v>
      </c>
      <c r="H136" s="2" t="s">
        <v>487</v>
      </c>
      <c r="I136" s="45" t="n">
        <f aca="false">INDEX('Recurring Budgets'!$F$2:$F$125,MATCH(P136,'Recurring Budgets'!$A$2:$A$125,0))</f>
        <v>1</v>
      </c>
      <c r="J136" s="45" t="n">
        <f aca="false">INDEX('Recurring Budgets'!$G$2:$G$125,MATCH(P136,'Recurring Budgets'!$A$2:$A$125,0))</f>
        <v>0.5</v>
      </c>
      <c r="K136" s="50" t="n">
        <f aca="false">I136+J136</f>
        <v>1.5</v>
      </c>
      <c r="L136" s="2" t="n">
        <f aca="false">ROUND(K136*60,0)</f>
        <v>90</v>
      </c>
      <c r="M136" s="51" t="n">
        <f aca="false">INDEX('Recurring Budgets'!$M$2:$M$125,MATCH(P136,'Recurring Budgets'!$A$2:$A$125,0))</f>
        <v>220</v>
      </c>
      <c r="N136" s="39" t="str">
        <f aca="false">INDEX('Recurring Budgets'!$P$2:$P$125,MATCH(P136,'Recurring Budgets'!$A$2:$A$125,0))</f>
        <v>Estimate</v>
      </c>
      <c r="O136" s="39" t="str">
        <f aca="false">INDEX('Recurring Budgets'!$Q$2:$Q$125,MATCH(P136,'Recurring Budgets'!$A$2:$A$125,0))</f>
        <v>Little recent history (backlog not yet worked). Close set at 1.0h from 2025 pattern, adjusted for contractor under-recording. Review = 0.5h placeholder (no close reviews found in Harvest) – check.</v>
      </c>
      <c r="P136" s="2" t="s">
        <v>420</v>
      </c>
    </row>
    <row r="137" customFormat="false" ht="15" hidden="false" customHeight="false" outlineLevel="0" collapsed="false">
      <c r="A137" s="2" t="s">
        <v>69</v>
      </c>
      <c r="B137" s="2" t="s">
        <v>98</v>
      </c>
      <c r="C137" s="2" t="s">
        <v>242</v>
      </c>
      <c r="D137" s="59" t="n">
        <v>46326</v>
      </c>
      <c r="E137" s="2" t="s">
        <v>503</v>
      </c>
      <c r="F137" s="2" t="s">
        <v>504</v>
      </c>
      <c r="G137" s="2" t="s">
        <v>15</v>
      </c>
      <c r="H137" s="2" t="s">
        <v>487</v>
      </c>
      <c r="I137" s="45" t="n">
        <f aca="false">INDEX('Recurring Budgets'!$F$2:$F$125,MATCH(P137,'Recurring Budgets'!$A$2:$A$125,0))</f>
        <v>1</v>
      </c>
      <c r="J137" s="45" t="n">
        <f aca="false">INDEX('Recurring Budgets'!$G$2:$G$125,MATCH(P137,'Recurring Budgets'!$A$2:$A$125,0))</f>
        <v>0.5</v>
      </c>
      <c r="K137" s="50" t="n">
        <f aca="false">I137+J137</f>
        <v>1.5</v>
      </c>
      <c r="L137" s="2" t="n">
        <f aca="false">ROUND(K137*60,0)</f>
        <v>90</v>
      </c>
      <c r="M137" s="51" t="n">
        <f aca="false">INDEX('Recurring Budgets'!$M$2:$M$125,MATCH(P137,'Recurring Budgets'!$A$2:$A$125,0))</f>
        <v>220</v>
      </c>
      <c r="N137" s="39" t="str">
        <f aca="false">INDEX('Recurring Budgets'!$P$2:$P$125,MATCH(P137,'Recurring Budgets'!$A$2:$A$125,0))</f>
        <v>Estimate</v>
      </c>
      <c r="O137" s="39" t="str">
        <f aca="false">INDEX('Recurring Budgets'!$Q$2:$Q$125,MATCH(P137,'Recurring Budgets'!$A$2:$A$125,0))</f>
        <v>Little recent history (backlog not yet worked). Close set at 1.0h from 2025 pattern, adjusted for contractor under-recording. Review = 0.5h placeholder (no close reviews found in Harvest) – check.</v>
      </c>
      <c r="P137" s="2" t="s">
        <v>420</v>
      </c>
    </row>
    <row r="138" customFormat="false" ht="15" hidden="false" customHeight="false" outlineLevel="0" collapsed="false">
      <c r="A138" s="2" t="s">
        <v>69</v>
      </c>
      <c r="B138" s="2" t="s">
        <v>100</v>
      </c>
      <c r="C138" s="2" t="s">
        <v>242</v>
      </c>
      <c r="D138" s="59" t="n">
        <v>46326</v>
      </c>
      <c r="E138" s="2" t="s">
        <v>503</v>
      </c>
      <c r="F138" s="2" t="s">
        <v>495</v>
      </c>
      <c r="G138" s="2" t="s">
        <v>15</v>
      </c>
      <c r="H138" s="2" t="s">
        <v>487</v>
      </c>
      <c r="I138" s="45" t="n">
        <f aca="false">INDEX('Recurring Budgets'!$F$2:$F$125,MATCH(P138,'Recurring Budgets'!$A$2:$A$125,0))</f>
        <v>1</v>
      </c>
      <c r="J138" s="45" t="n">
        <f aca="false">INDEX('Recurring Budgets'!$G$2:$G$125,MATCH(P138,'Recurring Budgets'!$A$2:$A$125,0))</f>
        <v>0.5</v>
      </c>
      <c r="K138" s="50" t="n">
        <f aca="false">I138+J138</f>
        <v>1.5</v>
      </c>
      <c r="L138" s="2" t="n">
        <f aca="false">ROUND(K138*60,0)</f>
        <v>90</v>
      </c>
      <c r="M138" s="51" t="n">
        <f aca="false">INDEX('Recurring Budgets'!$M$2:$M$125,MATCH(P138,'Recurring Budgets'!$A$2:$A$125,0))</f>
        <v>220</v>
      </c>
      <c r="N138" s="39" t="str">
        <f aca="false">INDEX('Recurring Budgets'!$P$2:$P$125,MATCH(P138,'Recurring Budgets'!$A$2:$A$125,0))</f>
        <v>Estimate</v>
      </c>
      <c r="O138" s="39" t="str">
        <f aca="false">INDEX('Recurring Budgets'!$Q$2:$Q$125,MATCH(P138,'Recurring Budgets'!$A$2:$A$125,0))</f>
        <v>Little recent history (backlog not yet worked). Close set at 1.0h from 2025 pattern, adjusted for contractor under-recording. Review = 0.5h placeholder (no close reviews found in Harvest) – check.</v>
      </c>
      <c r="P138" s="2" t="s">
        <v>420</v>
      </c>
    </row>
    <row r="139" customFormat="false" ht="15" hidden="false" customHeight="false" outlineLevel="0" collapsed="false">
      <c r="A139" s="2" t="s">
        <v>70</v>
      </c>
      <c r="B139" s="2" t="s">
        <v>484</v>
      </c>
      <c r="C139" s="2" t="s">
        <v>242</v>
      </c>
      <c r="D139" s="59" t="n">
        <v>46297</v>
      </c>
      <c r="E139" s="2" t="s">
        <v>498</v>
      </c>
      <c r="F139" s="2" t="s">
        <v>504</v>
      </c>
      <c r="G139" s="2" t="s">
        <v>15</v>
      </c>
      <c r="H139" s="2" t="s">
        <v>487</v>
      </c>
      <c r="I139" s="45" t="n">
        <f aca="false">INDEX('Recurring Budgets'!$F$2:$F$125,MATCH(P139,'Recurring Budgets'!$A$2:$A$125,0))</f>
        <v>7</v>
      </c>
      <c r="J139" s="45" t="n">
        <f aca="false">INDEX('Recurring Budgets'!$G$2:$G$125,MATCH(P139,'Recurring Budgets'!$A$2:$A$125,0))</f>
        <v>1</v>
      </c>
      <c r="K139" s="50" t="n">
        <f aca="false">I139+J139</f>
        <v>8</v>
      </c>
      <c r="L139" s="2" t="n">
        <f aca="false">ROUND(K139*60,0)</f>
        <v>480</v>
      </c>
      <c r="M139" s="51" t="n">
        <f aca="false">INDEX('Recurring Budgets'!$M$2:$M$125,MATCH(P139,'Recurring Budgets'!$A$2:$A$125,0))</f>
        <v>2000</v>
      </c>
      <c r="N139" s="39" t="str">
        <f aca="false">INDEX('Recurring Budgets'!$P$2:$P$125,MATCH(P139,'Recurring Budgets'!$A$2:$A$125,0))</f>
        <v>Low – based on Valentina's hours</v>
      </c>
      <c r="O139" s="39" t="str">
        <f aca="false">INDEX('Recurring Budgets'!$Q$2:$Q$125,MATCH(P139,'Recurring Budgets'!$A$2:$A$125,0))</f>
        <v>Includes Month-end 3.9, CFO advisory 1.3. Review = median of 7 closes reviewed in Harvest (1.00h).</v>
      </c>
      <c r="P139" s="2" t="s">
        <v>427</v>
      </c>
    </row>
    <row r="140" customFormat="false" ht="15" hidden="false" customHeight="false" outlineLevel="0" collapsed="false">
      <c r="A140" s="2" t="s">
        <v>70</v>
      </c>
      <c r="B140" s="2" t="s">
        <v>492</v>
      </c>
      <c r="C140" s="2" t="s">
        <v>242</v>
      </c>
      <c r="D140" s="59" t="n">
        <v>46310</v>
      </c>
      <c r="E140" s="2" t="s">
        <v>498</v>
      </c>
      <c r="F140" s="2" t="s">
        <v>504</v>
      </c>
      <c r="G140" s="2" t="s">
        <v>15</v>
      </c>
      <c r="H140" s="2" t="s">
        <v>487</v>
      </c>
      <c r="I140" s="45" t="n">
        <f aca="false">INDEX('Recurring Budgets'!$F$2:$F$125,MATCH(P140,'Recurring Budgets'!$A$2:$A$125,0))</f>
        <v>7</v>
      </c>
      <c r="J140" s="45" t="n">
        <f aca="false">INDEX('Recurring Budgets'!$G$2:$G$125,MATCH(P140,'Recurring Budgets'!$A$2:$A$125,0))</f>
        <v>1</v>
      </c>
      <c r="K140" s="50" t="n">
        <f aca="false">I140+J140</f>
        <v>8</v>
      </c>
      <c r="L140" s="2" t="n">
        <f aca="false">ROUND(K140*60,0)</f>
        <v>480</v>
      </c>
      <c r="M140" s="51" t="n">
        <f aca="false">INDEX('Recurring Budgets'!$M$2:$M$125,MATCH(P140,'Recurring Budgets'!$A$2:$A$125,0))</f>
        <v>2000</v>
      </c>
      <c r="N140" s="39" t="str">
        <f aca="false">INDEX('Recurring Budgets'!$P$2:$P$125,MATCH(P140,'Recurring Budgets'!$A$2:$A$125,0))</f>
        <v>Low – based on Valentina's hours</v>
      </c>
      <c r="O140" s="39" t="str">
        <f aca="false">INDEX('Recurring Budgets'!$Q$2:$Q$125,MATCH(P140,'Recurring Budgets'!$A$2:$A$125,0))</f>
        <v>Includes Month-end 3.9, CFO advisory 1.3. Review = median of 7 closes reviewed in Harvest (1.00h).</v>
      </c>
      <c r="P140" s="2" t="s">
        <v>427</v>
      </c>
    </row>
    <row r="141" customFormat="false" ht="15" hidden="false" customHeight="false" outlineLevel="0" collapsed="false">
      <c r="A141" s="2" t="s">
        <v>70</v>
      </c>
      <c r="B141" s="2" t="s">
        <v>237</v>
      </c>
      <c r="C141" s="2" t="s">
        <v>170</v>
      </c>
      <c r="D141" s="59" t="n">
        <v>46325</v>
      </c>
      <c r="E141" s="2" t="s">
        <v>488</v>
      </c>
      <c r="F141" s="2" t="s">
        <v>489</v>
      </c>
      <c r="G141" s="2" t="s">
        <v>170</v>
      </c>
      <c r="H141" s="2" t="s">
        <v>490</v>
      </c>
      <c r="I141" s="45" t="n">
        <f aca="false">INDEX('1099 Oct 30'!$F$5:$F$45,MATCH(P141,'1099 Oct 30'!$A$5:$A$45,0))</f>
        <v>1.5</v>
      </c>
      <c r="J141" s="44" t="n">
        <v>0</v>
      </c>
      <c r="K141" s="50" t="n">
        <f aca="false">I141+J141</f>
        <v>1.5</v>
      </c>
      <c r="L141" s="2" t="n">
        <f aca="false">ROUND(K141*60,0)</f>
        <v>90</v>
      </c>
      <c r="M141" s="51" t="n">
        <f aca="false">I141*Assumptions!$B$4</f>
        <v>142.5</v>
      </c>
      <c r="N141" s="52" t="s">
        <v>238</v>
      </c>
      <c r="O141" s="2" t="s">
        <v>491</v>
      </c>
      <c r="P141" s="2" t="s">
        <v>70</v>
      </c>
    </row>
    <row r="142" customFormat="false" ht="15" hidden="false" customHeight="false" outlineLevel="0" collapsed="false">
      <c r="A142" s="2" t="s">
        <v>70</v>
      </c>
      <c r="B142" s="2" t="s">
        <v>501</v>
      </c>
      <c r="C142" s="2" t="s">
        <v>282</v>
      </c>
      <c r="D142" s="59" t="n">
        <v>46325</v>
      </c>
      <c r="E142" s="2" t="s">
        <v>498</v>
      </c>
      <c r="F142" s="2" t="s">
        <v>504</v>
      </c>
      <c r="G142" s="2" t="s">
        <v>21</v>
      </c>
      <c r="H142" s="2" t="s">
        <v>487</v>
      </c>
      <c r="I142" s="45" t="n">
        <f aca="false">INDEX('Recurring Budgets'!$F$2:$F$125,MATCH(P142,'Recurring Budgets'!$A$2:$A$125,0))</f>
        <v>0.75</v>
      </c>
      <c r="J142" s="45" t="n">
        <f aca="false">INDEX('Recurring Budgets'!$G$2:$G$125,MATCH(P142,'Recurring Budgets'!$A$2:$A$125,0))</f>
        <v>0</v>
      </c>
      <c r="K142" s="50" t="n">
        <f aca="false">I142+J142</f>
        <v>0.75</v>
      </c>
      <c r="L142" s="2" t="n">
        <f aca="false">ROUND(K142*60,0)</f>
        <v>45</v>
      </c>
      <c r="M142" s="51" t="n">
        <f aca="false">INDEX('Recurring Budgets'!$M$2:$M$125,MATCH(P142,'Recurring Budgets'!$A$2:$A$125,0))</f>
        <v>187.5</v>
      </c>
      <c r="N142" s="39" t="str">
        <f aca="false">INDEX('Recurring Budgets'!$P$2:$P$125,MATCH(P142,'Recurring Budgets'!$A$2:$A$125,0))</f>
        <v>Low – based on Valentina's hours</v>
      </c>
      <c r="O142" s="39" t="str">
        <f aca="false">INDEX('Recurring Budgets'!$Q$2:$Q$125,MATCH(P142,'Recurring Budgets'!$A$2:$A$125,0))</f>
        <v>Year-end/tax hours Oct 2025–Sep 2026 (0.8h).</v>
      </c>
      <c r="P142" s="2" t="s">
        <v>425</v>
      </c>
    </row>
    <row r="143" customFormat="false" ht="15" hidden="false" customHeight="false" outlineLevel="0" collapsed="false">
      <c r="A143" s="2" t="s">
        <v>71</v>
      </c>
      <c r="B143" s="2" t="s">
        <v>484</v>
      </c>
      <c r="C143" s="2" t="s">
        <v>242</v>
      </c>
      <c r="D143" s="59" t="n">
        <v>46296</v>
      </c>
      <c r="E143" s="2" t="s">
        <v>488</v>
      </c>
      <c r="F143" s="2" t="s">
        <v>486</v>
      </c>
      <c r="G143" s="2" t="s">
        <v>15</v>
      </c>
      <c r="H143" s="2" t="s">
        <v>487</v>
      </c>
      <c r="I143" s="45" t="n">
        <f aca="false">INDEX('Recurring Budgets'!$F$2:$F$125,MATCH(P143,'Recurring Budgets'!$A$2:$A$125,0))</f>
        <v>5.5</v>
      </c>
      <c r="J143" s="45" t="n">
        <f aca="false">INDEX('Recurring Budgets'!$G$2:$G$125,MATCH(P143,'Recurring Budgets'!$A$2:$A$125,0))</f>
        <v>1</v>
      </c>
      <c r="K143" s="50" t="n">
        <f aca="false">I143+J143</f>
        <v>6.5</v>
      </c>
      <c r="L143" s="2" t="n">
        <f aca="false">ROUND(K143*60,0)</f>
        <v>390</v>
      </c>
      <c r="M143" s="51" t="n">
        <f aca="false">INDEX('Recurring Budgets'!$M$2:$M$125,MATCH(P143,'Recurring Budgets'!$A$2:$A$125,0))</f>
        <v>772.5</v>
      </c>
      <c r="N143" s="39" t="str">
        <f aca="false">INDEX('Recurring Budgets'!$P$2:$P$125,MATCH(P143,'Recurring Budgets'!$A$2:$A$125,0))</f>
        <v>High</v>
      </c>
      <c r="O143" s="39" t="str">
        <f aca="false">INDEX('Recurring Budgets'!$Q$2:$Q$125,MATCH(P143,'Recurring Budgets'!$A$2:$A$125,0))</f>
        <v>Includes Month-end 5.8. Review = median of 7 closes reviewed in Harvest (1.00h).</v>
      </c>
      <c r="P143" s="2" t="s">
        <v>430</v>
      </c>
    </row>
    <row r="144" customFormat="false" ht="15" hidden="false" customHeight="false" outlineLevel="0" collapsed="false">
      <c r="A144" s="2" t="s">
        <v>71</v>
      </c>
      <c r="B144" s="2" t="s">
        <v>237</v>
      </c>
      <c r="C144" s="2" t="s">
        <v>170</v>
      </c>
      <c r="D144" s="59" t="n">
        <v>46325</v>
      </c>
      <c r="E144" s="2" t="s">
        <v>488</v>
      </c>
      <c r="F144" s="2" t="s">
        <v>489</v>
      </c>
      <c r="G144" s="2" t="s">
        <v>170</v>
      </c>
      <c r="H144" s="2" t="s">
        <v>490</v>
      </c>
      <c r="I144" s="45" t="n">
        <f aca="false">INDEX('1099 Oct 30'!$F$5:$F$45,MATCH(P144,'1099 Oct 30'!$A$5:$A$45,0))</f>
        <v>4</v>
      </c>
      <c r="J144" s="44" t="n">
        <v>0</v>
      </c>
      <c r="K144" s="50" t="n">
        <f aca="false">I144+J144</f>
        <v>4</v>
      </c>
      <c r="L144" s="2" t="n">
        <f aca="false">ROUND(K144*60,0)</f>
        <v>240</v>
      </c>
      <c r="M144" s="51" t="n">
        <f aca="false">I144*Assumptions!$B$4</f>
        <v>380</v>
      </c>
      <c r="N144" s="52" t="s">
        <v>238</v>
      </c>
      <c r="O144" s="2" t="s">
        <v>491</v>
      </c>
      <c r="P144" s="2" t="s">
        <v>71</v>
      </c>
    </row>
    <row r="145" customFormat="false" ht="15" hidden="false" customHeight="false" outlineLevel="0" collapsed="false">
      <c r="A145" s="2" t="s">
        <v>71</v>
      </c>
      <c r="B145" s="2" t="s">
        <v>492</v>
      </c>
      <c r="C145" s="2" t="s">
        <v>242</v>
      </c>
      <c r="D145" s="59" t="n">
        <v>46325</v>
      </c>
      <c r="E145" s="2" t="s">
        <v>493</v>
      </c>
      <c r="F145" s="2" t="s">
        <v>495</v>
      </c>
      <c r="G145" s="2" t="s">
        <v>15</v>
      </c>
      <c r="H145" s="2" t="s">
        <v>487</v>
      </c>
      <c r="I145" s="45" t="n">
        <f aca="false">INDEX('Recurring Budgets'!$F$2:$F$125,MATCH(P145,'Recurring Budgets'!$A$2:$A$125,0))</f>
        <v>5.5</v>
      </c>
      <c r="J145" s="45" t="n">
        <f aca="false">INDEX('Recurring Budgets'!$G$2:$G$125,MATCH(P145,'Recurring Budgets'!$A$2:$A$125,0))</f>
        <v>1</v>
      </c>
      <c r="K145" s="50" t="n">
        <f aca="false">I145+J145</f>
        <v>6.5</v>
      </c>
      <c r="L145" s="2" t="n">
        <f aca="false">ROUND(K145*60,0)</f>
        <v>390</v>
      </c>
      <c r="M145" s="51" t="n">
        <f aca="false">INDEX('Recurring Budgets'!$M$2:$M$125,MATCH(P145,'Recurring Budgets'!$A$2:$A$125,0))</f>
        <v>772.5</v>
      </c>
      <c r="N145" s="39" t="str">
        <f aca="false">INDEX('Recurring Budgets'!$P$2:$P$125,MATCH(P145,'Recurring Budgets'!$A$2:$A$125,0))</f>
        <v>High</v>
      </c>
      <c r="O145" s="39" t="str">
        <f aca="false">INDEX('Recurring Budgets'!$Q$2:$Q$125,MATCH(P145,'Recurring Budgets'!$A$2:$A$125,0))</f>
        <v>Includes Month-end 5.8. Review = median of 7 closes reviewed in Harvest (1.00h).</v>
      </c>
      <c r="P145" s="2" t="s">
        <v>430</v>
      </c>
    </row>
    <row r="146" customFormat="false" ht="15" hidden="false" customHeight="false" outlineLevel="0" collapsed="false">
      <c r="A146" s="2" t="s">
        <v>72</v>
      </c>
      <c r="B146" s="2" t="s">
        <v>494</v>
      </c>
      <c r="C146" s="2" t="s">
        <v>248</v>
      </c>
      <c r="D146" s="59" t="n">
        <v>46310</v>
      </c>
      <c r="E146" s="2" t="s">
        <v>485</v>
      </c>
      <c r="F146" s="2" t="s">
        <v>504</v>
      </c>
      <c r="G146" s="2" t="s">
        <v>13</v>
      </c>
      <c r="H146" s="2" t="s">
        <v>487</v>
      </c>
      <c r="I146" s="45" t="n">
        <f aca="false">INDEX('Recurring Budgets'!$F$2:$F$125,MATCH(P146,'Recurring Budgets'!$A$2:$A$125,0))</f>
        <v>1</v>
      </c>
      <c r="J146" s="45" t="n">
        <f aca="false">INDEX('Recurring Budgets'!$G$2:$G$125,MATCH(P146,'Recurring Budgets'!$A$2:$A$125,0))</f>
        <v>1.5</v>
      </c>
      <c r="K146" s="50" t="n">
        <f aca="false">I146+J146</f>
        <v>2.5</v>
      </c>
      <c r="L146" s="2" t="n">
        <f aca="false">ROUND(K146*60,0)</f>
        <v>150</v>
      </c>
      <c r="M146" s="51" t="n">
        <f aca="false">INDEX('Recurring Budgets'!$M$2:$M$125,MATCH(P146,'Recurring Budgets'!$A$2:$A$125,0))</f>
        <v>625</v>
      </c>
      <c r="N146" s="39" t="str">
        <f aca="false">INDEX('Recurring Budgets'!$P$2:$P$125,MATCH(P146,'Recurring Budgets'!$A$2:$A$125,0))</f>
        <v>High</v>
      </c>
      <c r="O146" s="39" t="str">
        <f aca="false">INDEX('Recurring Budgets'!$Q$2:$Q$125,MATCH(P146,'Recurring Budgets'!$A$2:$A$125,0))</f>
        <v>Includes CFO advisory 1.2. Review = median of 3 closes reviewed in Harvest (1.50h).</v>
      </c>
      <c r="P146" s="2" t="s">
        <v>433</v>
      </c>
    </row>
    <row r="147" customFormat="false" ht="15" hidden="false" customHeight="false" outlineLevel="0" collapsed="false">
      <c r="A147" s="2" t="s">
        <v>72</v>
      </c>
      <c r="B147" s="2" t="s">
        <v>237</v>
      </c>
      <c r="C147" s="2" t="s">
        <v>170</v>
      </c>
      <c r="D147" s="59" t="n">
        <v>46325</v>
      </c>
      <c r="E147" s="2" t="s">
        <v>488</v>
      </c>
      <c r="F147" s="2" t="s">
        <v>489</v>
      </c>
      <c r="G147" s="2" t="s">
        <v>170</v>
      </c>
      <c r="H147" s="2" t="s">
        <v>490</v>
      </c>
      <c r="I147" s="45" t="n">
        <f aca="false">INDEX('1099 Oct 30'!$F$5:$F$45,MATCH(P147,'1099 Oct 30'!$A$5:$A$45,0))</f>
        <v>0</v>
      </c>
      <c r="J147" s="44" t="n">
        <v>0</v>
      </c>
      <c r="K147" s="50" t="n">
        <f aca="false">I147+J147</f>
        <v>0</v>
      </c>
      <c r="L147" s="2" t="n">
        <f aca="false">ROUND(K147*60,0)</f>
        <v>0</v>
      </c>
      <c r="M147" s="51" t="n">
        <f aca="false">I147*Assumptions!$B$4</f>
        <v>0</v>
      </c>
      <c r="N147" s="52" t="s">
        <v>238</v>
      </c>
      <c r="O147" s="2" t="s">
        <v>491</v>
      </c>
      <c r="P147" s="2" t="s">
        <v>72</v>
      </c>
    </row>
    <row r="148" customFormat="false" ht="15" hidden="false" customHeight="false" outlineLevel="0" collapsed="false">
      <c r="A148" s="2" t="s">
        <v>73</v>
      </c>
      <c r="B148" s="2" t="s">
        <v>97</v>
      </c>
      <c r="C148" s="2" t="s">
        <v>242</v>
      </c>
      <c r="D148" s="59" t="n">
        <v>46304</v>
      </c>
      <c r="E148" s="2" t="s">
        <v>493</v>
      </c>
      <c r="F148" s="2" t="s">
        <v>504</v>
      </c>
      <c r="G148" s="2" t="s">
        <v>15</v>
      </c>
      <c r="H148" s="2" t="s">
        <v>505</v>
      </c>
      <c r="I148" s="44" t="n">
        <v>2.5</v>
      </c>
      <c r="J148" s="44" t="n">
        <v>0.5</v>
      </c>
      <c r="K148" s="50" t="n">
        <f aca="false">I148+J148</f>
        <v>3</v>
      </c>
      <c r="L148" s="2" t="n">
        <f aca="false">ROUND(K148*60,0)</f>
        <v>180</v>
      </c>
      <c r="M148" s="51" t="n">
        <f aca="false">I148*Assumptions!$B$4+J148*Assumptions!$B$5</f>
        <v>362.5</v>
      </c>
      <c r="N148" s="52" t="s">
        <v>238</v>
      </c>
      <c r="O148" s="2" t="s">
        <v>544</v>
      </c>
      <c r="P148" s="2"/>
    </row>
    <row r="149" customFormat="false" ht="15" hidden="false" customHeight="false" outlineLevel="0" collapsed="false">
      <c r="A149" s="2" t="s">
        <v>73</v>
      </c>
      <c r="B149" s="2" t="s">
        <v>95</v>
      </c>
      <c r="C149" s="2" t="s">
        <v>242</v>
      </c>
      <c r="D149" s="59" t="n">
        <v>46304</v>
      </c>
      <c r="E149" s="2" t="s">
        <v>493</v>
      </c>
      <c r="F149" s="2" t="s">
        <v>504</v>
      </c>
      <c r="G149" s="2" t="s">
        <v>15</v>
      </c>
      <c r="H149" s="2" t="s">
        <v>505</v>
      </c>
      <c r="I149" s="44" t="n">
        <v>2.5</v>
      </c>
      <c r="J149" s="44" t="n">
        <v>0.5</v>
      </c>
      <c r="K149" s="50" t="n">
        <f aca="false">I149+J149</f>
        <v>3</v>
      </c>
      <c r="L149" s="2" t="n">
        <f aca="false">ROUND(K149*60,0)</f>
        <v>180</v>
      </c>
      <c r="M149" s="51" t="n">
        <f aca="false">I149*Assumptions!$B$4+J149*Assumptions!$B$5</f>
        <v>362.5</v>
      </c>
      <c r="N149" s="52" t="s">
        <v>238</v>
      </c>
      <c r="O149" s="2" t="s">
        <v>544</v>
      </c>
      <c r="P149" s="2"/>
    </row>
    <row r="150" customFormat="false" ht="15" hidden="false" customHeight="false" outlineLevel="0" collapsed="false">
      <c r="A150" s="2" t="s">
        <v>73</v>
      </c>
      <c r="B150" s="2" t="s">
        <v>98</v>
      </c>
      <c r="C150" s="2" t="s">
        <v>242</v>
      </c>
      <c r="D150" s="59" t="n">
        <v>46304</v>
      </c>
      <c r="E150" s="2" t="s">
        <v>493</v>
      </c>
      <c r="F150" s="2" t="s">
        <v>504</v>
      </c>
      <c r="G150" s="2" t="s">
        <v>15</v>
      </c>
      <c r="H150" s="2" t="s">
        <v>505</v>
      </c>
      <c r="I150" s="44" t="n">
        <v>2.5</v>
      </c>
      <c r="J150" s="44" t="n">
        <v>0.5</v>
      </c>
      <c r="K150" s="50" t="n">
        <f aca="false">I150+J150</f>
        <v>3</v>
      </c>
      <c r="L150" s="2" t="n">
        <f aca="false">ROUND(K150*60,0)</f>
        <v>180</v>
      </c>
      <c r="M150" s="51" t="n">
        <f aca="false">I150*Assumptions!$B$4+J150*Assumptions!$B$5</f>
        <v>362.5</v>
      </c>
      <c r="N150" s="52" t="s">
        <v>238</v>
      </c>
      <c r="O150" s="2" t="s">
        <v>544</v>
      </c>
      <c r="P150" s="2"/>
    </row>
    <row r="151" customFormat="false" ht="15" hidden="false" customHeight="false" outlineLevel="0" collapsed="false">
      <c r="A151" s="2" t="s">
        <v>73</v>
      </c>
      <c r="B151" s="2" t="s">
        <v>99</v>
      </c>
      <c r="C151" s="2" t="s">
        <v>242</v>
      </c>
      <c r="D151" s="59" t="n">
        <v>46311</v>
      </c>
      <c r="E151" s="2" t="s">
        <v>493</v>
      </c>
      <c r="F151" s="2" t="s">
        <v>504</v>
      </c>
      <c r="G151" s="2" t="s">
        <v>15</v>
      </c>
      <c r="H151" s="2" t="s">
        <v>505</v>
      </c>
      <c r="I151" s="44" t="n">
        <v>2.5</v>
      </c>
      <c r="J151" s="44" t="n">
        <v>0.5</v>
      </c>
      <c r="K151" s="50" t="n">
        <f aca="false">I151+J151</f>
        <v>3</v>
      </c>
      <c r="L151" s="2" t="n">
        <f aca="false">ROUND(K151*60,0)</f>
        <v>180</v>
      </c>
      <c r="M151" s="51" t="n">
        <f aca="false">I151*Assumptions!$B$4+J151*Assumptions!$B$5</f>
        <v>362.5</v>
      </c>
      <c r="N151" s="52" t="s">
        <v>238</v>
      </c>
      <c r="O151" s="2" t="s">
        <v>544</v>
      </c>
      <c r="P151" s="2"/>
    </row>
    <row r="152" customFormat="false" ht="15" hidden="false" customHeight="false" outlineLevel="0" collapsed="false">
      <c r="A152" s="2" t="s">
        <v>73</v>
      </c>
      <c r="B152" s="2" t="s">
        <v>484</v>
      </c>
      <c r="C152" s="2" t="s">
        <v>242</v>
      </c>
      <c r="D152" s="59" t="n">
        <v>46311</v>
      </c>
      <c r="E152" s="2" t="s">
        <v>493</v>
      </c>
      <c r="F152" s="2" t="s">
        <v>495</v>
      </c>
      <c r="G152" s="2" t="s">
        <v>15</v>
      </c>
      <c r="H152" s="2" t="s">
        <v>487</v>
      </c>
      <c r="I152" s="45" t="n">
        <f aca="false">INDEX('Recurring Budgets'!$F$2:$F$125,MATCH(P152,'Recurring Budgets'!$A$2:$A$125,0))</f>
        <v>1</v>
      </c>
      <c r="J152" s="45" t="n">
        <f aca="false">INDEX('Recurring Budgets'!$G$2:$G$125,MATCH(P152,'Recurring Budgets'!$A$2:$A$125,0))</f>
        <v>0.5</v>
      </c>
      <c r="K152" s="50" t="n">
        <f aca="false">I152+J152</f>
        <v>1.5</v>
      </c>
      <c r="L152" s="2" t="n">
        <f aca="false">ROUND(K152*60,0)</f>
        <v>90</v>
      </c>
      <c r="M152" s="51" t="n">
        <f aca="false">INDEX('Recurring Budgets'!$M$2:$M$125,MATCH(P152,'Recurring Budgets'!$A$2:$A$125,0))</f>
        <v>220</v>
      </c>
      <c r="N152" s="39" t="str">
        <f aca="false">INDEX('Recurring Budgets'!$P$2:$P$125,MATCH(P152,'Recurring Budgets'!$A$2:$A$125,0))</f>
        <v>Low</v>
      </c>
      <c r="O152" s="39" t="str">
        <f aca="false">INDEX('Recurring Budgets'!$Q$2:$Q$125,MATCH(P152,'Recurring Budgets'!$A$2:$A$125,0))</f>
        <v>Includes Month-end 0.2, Bookkeeping 0.5, Sales tax 0.2, CFO advisory 0.6. Catch-up still underway; steady level uncertain. Backlog closes carry the remaining catch-up (~15–20h). Review = 0.5h placeholder (no close reviews found in Harvest) – check.</v>
      </c>
      <c r="P152" s="2" t="s">
        <v>439</v>
      </c>
    </row>
    <row r="153" customFormat="false" ht="15" hidden="false" customHeight="false" outlineLevel="0" collapsed="false">
      <c r="A153" s="2" t="s">
        <v>73</v>
      </c>
      <c r="B153" s="2" t="s">
        <v>102</v>
      </c>
      <c r="C153" s="2" t="s">
        <v>242</v>
      </c>
      <c r="D153" s="59" t="n">
        <v>46311</v>
      </c>
      <c r="E153" s="2" t="s">
        <v>493</v>
      </c>
      <c r="F153" s="2" t="s">
        <v>504</v>
      </c>
      <c r="G153" s="2" t="s">
        <v>15</v>
      </c>
      <c r="H153" s="2" t="s">
        <v>505</v>
      </c>
      <c r="I153" s="44" t="n">
        <v>2.5</v>
      </c>
      <c r="J153" s="44" t="n">
        <v>0.5</v>
      </c>
      <c r="K153" s="50" t="n">
        <f aca="false">I153+J153</f>
        <v>3</v>
      </c>
      <c r="L153" s="2" t="n">
        <f aca="false">ROUND(K153*60,0)</f>
        <v>180</v>
      </c>
      <c r="M153" s="51" t="n">
        <f aca="false">I153*Assumptions!$B$4+J153*Assumptions!$B$5</f>
        <v>362.5</v>
      </c>
      <c r="N153" s="52" t="s">
        <v>238</v>
      </c>
      <c r="O153" s="2" t="s">
        <v>544</v>
      </c>
      <c r="P153" s="2"/>
    </row>
    <row r="154" customFormat="false" ht="15" hidden="false" customHeight="false" outlineLevel="0" collapsed="false">
      <c r="A154" s="2" t="s">
        <v>73</v>
      </c>
      <c r="B154" s="2" t="s">
        <v>101</v>
      </c>
      <c r="C154" s="2" t="s">
        <v>242</v>
      </c>
      <c r="D154" s="59" t="n">
        <v>46311</v>
      </c>
      <c r="E154" s="2" t="s">
        <v>493</v>
      </c>
      <c r="F154" s="2" t="s">
        <v>504</v>
      </c>
      <c r="G154" s="2" t="s">
        <v>15</v>
      </c>
      <c r="H154" s="2" t="s">
        <v>505</v>
      </c>
      <c r="I154" s="44" t="n">
        <v>2.5</v>
      </c>
      <c r="J154" s="44" t="n">
        <v>0.5</v>
      </c>
      <c r="K154" s="50" t="n">
        <f aca="false">I154+J154</f>
        <v>3</v>
      </c>
      <c r="L154" s="2" t="n">
        <f aca="false">ROUND(K154*60,0)</f>
        <v>180</v>
      </c>
      <c r="M154" s="51" t="n">
        <f aca="false">I154*Assumptions!$B$4+J154*Assumptions!$B$5</f>
        <v>362.5</v>
      </c>
      <c r="N154" s="52" t="s">
        <v>238</v>
      </c>
      <c r="O154" s="2" t="s">
        <v>544</v>
      </c>
      <c r="P154" s="2"/>
    </row>
    <row r="155" customFormat="false" ht="15" hidden="false" customHeight="false" outlineLevel="0" collapsed="false">
      <c r="A155" s="2" t="s">
        <v>73</v>
      </c>
      <c r="B155" s="2" t="s">
        <v>100</v>
      </c>
      <c r="C155" s="2" t="s">
        <v>242</v>
      </c>
      <c r="D155" s="59" t="n">
        <v>46311</v>
      </c>
      <c r="E155" s="2" t="s">
        <v>493</v>
      </c>
      <c r="F155" s="2" t="s">
        <v>504</v>
      </c>
      <c r="G155" s="2" t="s">
        <v>15</v>
      </c>
      <c r="H155" s="2" t="s">
        <v>505</v>
      </c>
      <c r="I155" s="44" t="n">
        <v>2.5</v>
      </c>
      <c r="J155" s="44" t="n">
        <v>0.5</v>
      </c>
      <c r="K155" s="50" t="n">
        <f aca="false">I155+J155</f>
        <v>3</v>
      </c>
      <c r="L155" s="2" t="n">
        <f aca="false">ROUND(K155*60,0)</f>
        <v>180</v>
      </c>
      <c r="M155" s="51" t="n">
        <f aca="false">I155*Assumptions!$B$4+J155*Assumptions!$B$5</f>
        <v>362.5</v>
      </c>
      <c r="N155" s="52" t="s">
        <v>238</v>
      </c>
      <c r="O155" s="2" t="s">
        <v>544</v>
      </c>
      <c r="P155" s="2"/>
    </row>
    <row r="156" customFormat="false" ht="15" hidden="false" customHeight="false" outlineLevel="0" collapsed="false">
      <c r="A156" s="2" t="s">
        <v>73</v>
      </c>
      <c r="B156" s="2" t="s">
        <v>492</v>
      </c>
      <c r="C156" s="2" t="s">
        <v>242</v>
      </c>
      <c r="D156" s="59" t="n">
        <v>46314</v>
      </c>
      <c r="E156" s="2" t="s">
        <v>493</v>
      </c>
      <c r="F156" s="2" t="s">
        <v>495</v>
      </c>
      <c r="G156" s="2" t="s">
        <v>15</v>
      </c>
      <c r="H156" s="2" t="s">
        <v>487</v>
      </c>
      <c r="I156" s="45" t="n">
        <f aca="false">INDEX('Recurring Budgets'!$F$2:$F$125,MATCH(P156,'Recurring Budgets'!$A$2:$A$125,0))</f>
        <v>1</v>
      </c>
      <c r="J156" s="45" t="n">
        <f aca="false">INDEX('Recurring Budgets'!$G$2:$G$125,MATCH(P156,'Recurring Budgets'!$A$2:$A$125,0))</f>
        <v>0.5</v>
      </c>
      <c r="K156" s="50" t="n">
        <f aca="false">I156+J156</f>
        <v>1.5</v>
      </c>
      <c r="L156" s="2" t="n">
        <f aca="false">ROUND(K156*60,0)</f>
        <v>90</v>
      </c>
      <c r="M156" s="51" t="n">
        <f aca="false">INDEX('Recurring Budgets'!$M$2:$M$125,MATCH(P156,'Recurring Budgets'!$A$2:$A$125,0))</f>
        <v>220</v>
      </c>
      <c r="N156" s="39" t="str">
        <f aca="false">INDEX('Recurring Budgets'!$P$2:$P$125,MATCH(P156,'Recurring Budgets'!$A$2:$A$125,0))</f>
        <v>Low</v>
      </c>
      <c r="O156" s="39" t="str">
        <f aca="false">INDEX('Recurring Budgets'!$Q$2:$Q$125,MATCH(P156,'Recurring Budgets'!$A$2:$A$125,0))</f>
        <v>Includes Month-end 0.2, Bookkeeping 0.5, Sales tax 0.2, CFO advisory 0.6. Catch-up still underway; steady level uncertain. Backlog closes carry the remaining catch-up (~15–20h). Review = 0.5h placeholder (no close reviews found in Harvest) – check.</v>
      </c>
      <c r="P156" s="2" t="s">
        <v>439</v>
      </c>
    </row>
    <row r="157" customFormat="false" ht="15" hidden="false" customHeight="false" outlineLevel="0" collapsed="false">
      <c r="A157" s="2" t="s">
        <v>73</v>
      </c>
      <c r="B157" s="2" t="s">
        <v>237</v>
      </c>
      <c r="C157" s="2" t="s">
        <v>170</v>
      </c>
      <c r="D157" s="59" t="n">
        <v>46325</v>
      </c>
      <c r="E157" s="2" t="s">
        <v>488</v>
      </c>
      <c r="F157" s="2" t="s">
        <v>489</v>
      </c>
      <c r="G157" s="2" t="s">
        <v>170</v>
      </c>
      <c r="H157" s="2" t="s">
        <v>490</v>
      </c>
      <c r="I157" s="45" t="n">
        <f aca="false">INDEX('1099 Oct 30'!$F$5:$F$45,MATCH(P157,'1099 Oct 30'!$A$5:$A$45,0))</f>
        <v>4</v>
      </c>
      <c r="J157" s="44" t="n">
        <v>0</v>
      </c>
      <c r="K157" s="50" t="n">
        <f aca="false">I157+J157</f>
        <v>4</v>
      </c>
      <c r="L157" s="2" t="n">
        <f aca="false">ROUND(K157*60,0)</f>
        <v>240</v>
      </c>
      <c r="M157" s="51" t="n">
        <f aca="false">I157*Assumptions!$B$4</f>
        <v>380</v>
      </c>
      <c r="N157" s="52" t="s">
        <v>238</v>
      </c>
      <c r="O157" s="2" t="s">
        <v>491</v>
      </c>
      <c r="P157" s="2" t="s">
        <v>73</v>
      </c>
    </row>
    <row r="158" customFormat="false" ht="15" hidden="false" customHeight="false" outlineLevel="0" collapsed="false">
      <c r="A158" s="2" t="s">
        <v>73</v>
      </c>
      <c r="B158" s="2" t="s">
        <v>501</v>
      </c>
      <c r="C158" s="2" t="s">
        <v>282</v>
      </c>
      <c r="D158" s="59" t="n">
        <v>46325</v>
      </c>
      <c r="E158" s="2" t="s">
        <v>485</v>
      </c>
      <c r="F158" s="2" t="s">
        <v>486</v>
      </c>
      <c r="G158" s="2" t="s">
        <v>21</v>
      </c>
      <c r="H158" s="2" t="s">
        <v>487</v>
      </c>
      <c r="I158" s="45" t="n">
        <f aca="false">INDEX('Recurring Budgets'!$F$2:$F$125,MATCH(P158,'Recurring Budgets'!$A$2:$A$125,0))</f>
        <v>4.5</v>
      </c>
      <c r="J158" s="45" t="n">
        <f aca="false">INDEX('Recurring Budgets'!$G$2:$G$125,MATCH(P158,'Recurring Budgets'!$A$2:$A$125,0))</f>
        <v>0</v>
      </c>
      <c r="K158" s="50" t="n">
        <f aca="false">I158+J158</f>
        <v>4.5</v>
      </c>
      <c r="L158" s="2" t="n">
        <f aca="false">ROUND(K158*60,0)</f>
        <v>270</v>
      </c>
      <c r="M158" s="51" t="n">
        <f aca="false">INDEX('Recurring Budgets'!$M$2:$M$125,MATCH(P158,'Recurring Budgets'!$A$2:$A$125,0))</f>
        <v>1125</v>
      </c>
      <c r="N158" s="39" t="str">
        <f aca="false">INDEX('Recurring Budgets'!$P$2:$P$125,MATCH(P158,'Recurring Budgets'!$A$2:$A$125,0))</f>
        <v>High</v>
      </c>
      <c r="O158" s="39" t="str">
        <f aca="false">INDEX('Recurring Budgets'!$Q$2:$Q$125,MATCH(P158,'Recurring Budgets'!$A$2:$A$125,0))</f>
        <v>Year-end/tax hours Oct 2025–Sep 2026 (4.5h). Catch-up still underway; steady level uncertain. Backlog closes carry the remaining catch-up (~15–20h).</v>
      </c>
      <c r="P158" s="2" t="s">
        <v>437</v>
      </c>
    </row>
    <row r="159" customFormat="false" ht="15" hidden="false" customHeight="false" outlineLevel="0" collapsed="false">
      <c r="A159" s="2" t="s">
        <v>74</v>
      </c>
      <c r="B159" s="2" t="s">
        <v>492</v>
      </c>
      <c r="C159" s="2" t="s">
        <v>242</v>
      </c>
      <c r="D159" s="59" t="n">
        <v>46301</v>
      </c>
      <c r="E159" s="2" t="s">
        <v>499</v>
      </c>
      <c r="F159" s="2" t="s">
        <v>495</v>
      </c>
      <c r="G159" s="2" t="s">
        <v>15</v>
      </c>
      <c r="H159" s="2" t="s">
        <v>487</v>
      </c>
      <c r="I159" s="45" t="n">
        <f aca="false">INDEX('Recurring Budgets'!$F$2:$F$125,MATCH(P159,'Recurring Budgets'!$A$2:$A$125,0))</f>
        <v>1.5833</v>
      </c>
      <c r="J159" s="45" t="n">
        <f aca="false">INDEX('Recurring Budgets'!$G$2:$G$125,MATCH(P159,'Recurring Budgets'!$A$2:$A$125,0))</f>
        <v>0.4833</v>
      </c>
      <c r="K159" s="50" t="n">
        <f aca="false">I159+J159</f>
        <v>2.0666</v>
      </c>
      <c r="L159" s="2" t="n">
        <f aca="false">ROUND(K159*60,0)</f>
        <v>124</v>
      </c>
      <c r="M159" s="51" t="n">
        <f aca="false">INDEX('Recurring Budgets'!$M$2:$M$125,MATCH(P159,'Recurring Budgets'!$A$2:$A$125,0))</f>
        <v>271.2385</v>
      </c>
      <c r="N159" s="39" t="str">
        <f aca="false">INDEX('Recurring Budgets'!$P$2:$P$125,MATCH(P159,'Recurring Budgets'!$A$2:$A$125,0))</f>
        <v>Low – based on Valentina's hours</v>
      </c>
      <c r="O159" s="39" t="str">
        <f aca="false">INDEX('Recurring Budgets'!$Q$2:$Q$125,MATCH(P159,'Recurring Budgets'!$A$2:$A$125,0))</f>
        <v>Includes Month-end 2.4, Bookkeeping 3.1, Payroll 1.1, CFO advisory 3.0. Less 8.3h/mo of Tavasci Group work budgeted on the Phil Tavasci Companies items. Carries Tavasci Group shared work since Harvest (moved from ESH). Group weekly items under Phil Tavasci Companies are budgeted from T5 history. Review = median of 4 closes reviewed in Harvest (0.48h).</v>
      </c>
      <c r="P159" s="2" t="s">
        <v>443</v>
      </c>
    </row>
    <row r="160" customFormat="false" ht="15" hidden="false" customHeight="false" outlineLevel="0" collapsed="false">
      <c r="A160" s="2" t="s">
        <v>74</v>
      </c>
      <c r="B160" s="2" t="s">
        <v>237</v>
      </c>
      <c r="C160" s="2" t="s">
        <v>170</v>
      </c>
      <c r="D160" s="59" t="n">
        <v>46325</v>
      </c>
      <c r="E160" s="2" t="s">
        <v>488</v>
      </c>
      <c r="F160" s="2" t="s">
        <v>489</v>
      </c>
      <c r="G160" s="2" t="s">
        <v>170</v>
      </c>
      <c r="H160" s="2" t="s">
        <v>490</v>
      </c>
      <c r="I160" s="45" t="n">
        <f aca="false">INDEX('1099 Oct 30'!$F$5:$F$45,MATCH(P160,'1099 Oct 30'!$A$5:$A$45,0))</f>
        <v>0.375</v>
      </c>
      <c r="J160" s="44" t="n">
        <v>0</v>
      </c>
      <c r="K160" s="50" t="n">
        <f aca="false">I160+J160</f>
        <v>0.375</v>
      </c>
      <c r="L160" s="2" t="n">
        <f aca="false">ROUND(K160*60,0)</f>
        <v>23</v>
      </c>
      <c r="M160" s="51" t="n">
        <f aca="false">I160*Assumptions!$B$4</f>
        <v>35.625</v>
      </c>
      <c r="N160" s="52" t="s">
        <v>238</v>
      </c>
      <c r="O160" s="2" t="s">
        <v>491</v>
      </c>
      <c r="P160" s="2" t="s">
        <v>74</v>
      </c>
    </row>
    <row r="161" customFormat="false" ht="15" hidden="false" customHeight="false" outlineLevel="0" collapsed="false">
      <c r="A161" s="2" t="s">
        <v>75</v>
      </c>
      <c r="B161" s="2" t="s">
        <v>492</v>
      </c>
      <c r="C161" s="2" t="s">
        <v>242</v>
      </c>
      <c r="D161" s="59" t="n">
        <v>46301</v>
      </c>
      <c r="E161" s="2" t="s">
        <v>499</v>
      </c>
      <c r="F161" s="2" t="s">
        <v>495</v>
      </c>
      <c r="G161" s="2" t="s">
        <v>15</v>
      </c>
      <c r="H161" s="2" t="s">
        <v>487</v>
      </c>
      <c r="I161" s="45" t="n">
        <f aca="false">INDEX('Recurring Budgets'!$F$2:$F$125,MATCH(P161,'Recurring Budgets'!$A$2:$A$125,0))</f>
        <v>0.75</v>
      </c>
      <c r="J161" s="45" t="n">
        <f aca="false">INDEX('Recurring Budgets'!$G$2:$G$125,MATCH(P161,'Recurring Budgets'!$A$2:$A$125,0))</f>
        <v>0.3833</v>
      </c>
      <c r="K161" s="50" t="n">
        <f aca="false">I161+J161</f>
        <v>1.1333</v>
      </c>
      <c r="L161" s="2" t="n">
        <f aca="false">ROUND(K161*60,0)</f>
        <v>68</v>
      </c>
      <c r="M161" s="51" t="n">
        <f aca="false">INDEX('Recurring Budgets'!$M$2:$M$125,MATCH(P161,'Recurring Budgets'!$A$2:$A$125,0))</f>
        <v>167.075</v>
      </c>
      <c r="N161" s="39" t="str">
        <f aca="false">INDEX('Recurring Budgets'!$P$2:$P$125,MATCH(P161,'Recurring Budgets'!$A$2:$A$125,0))</f>
        <v>Medium</v>
      </c>
      <c r="O161" s="39" t="str">
        <f aca="false">INDEX('Recurring Budgets'!$Q$2:$Q$125,MATCH(P161,'Recurring Budgets'!$A$2:$A$125,0))</f>
        <v>Josephine's Apr–May 2026 closes + allowance for a new person (Valentina's hours not used). Review = median of 8 closes reviewed in Harvest (0.38h).</v>
      </c>
      <c r="P161" s="2" t="s">
        <v>446</v>
      </c>
    </row>
    <row r="162" customFormat="false" ht="15" hidden="false" customHeight="false" outlineLevel="0" collapsed="false">
      <c r="A162" s="2" t="s">
        <v>75</v>
      </c>
      <c r="B162" s="2" t="s">
        <v>237</v>
      </c>
      <c r="C162" s="2" t="s">
        <v>170</v>
      </c>
      <c r="D162" s="59" t="n">
        <v>46325</v>
      </c>
      <c r="E162" s="2" t="s">
        <v>488</v>
      </c>
      <c r="F162" s="2" t="s">
        <v>489</v>
      </c>
      <c r="G162" s="2" t="s">
        <v>170</v>
      </c>
      <c r="H162" s="2" t="s">
        <v>490</v>
      </c>
      <c r="I162" s="45" t="n">
        <f aca="false">INDEX('1099 Oct 30'!$F$5:$F$45,MATCH(P162,'1099 Oct 30'!$A$5:$A$45,0))</f>
        <v>0.375</v>
      </c>
      <c r="J162" s="44" t="n">
        <v>0</v>
      </c>
      <c r="K162" s="50" t="n">
        <f aca="false">I162+J162</f>
        <v>0.375</v>
      </c>
      <c r="L162" s="2" t="n">
        <f aca="false">ROUND(K162*60,0)</f>
        <v>23</v>
      </c>
      <c r="M162" s="51" t="n">
        <f aca="false">I162*Assumptions!$B$4</f>
        <v>35.625</v>
      </c>
      <c r="N162" s="52" t="s">
        <v>238</v>
      </c>
      <c r="O162" s="2" t="s">
        <v>491</v>
      </c>
      <c r="P162" s="2" t="s">
        <v>75</v>
      </c>
    </row>
    <row r="163" customFormat="false" ht="15" hidden="false" customHeight="false" outlineLevel="0" collapsed="false">
      <c r="A163" s="2" t="s">
        <v>545</v>
      </c>
      <c r="B163" s="2" t="s">
        <v>546</v>
      </c>
      <c r="C163" s="2" t="s">
        <v>502</v>
      </c>
      <c r="D163" s="59" t="n">
        <v>46297</v>
      </c>
      <c r="E163" s="2" t="s">
        <v>503</v>
      </c>
      <c r="F163" s="2" t="s">
        <v>486</v>
      </c>
      <c r="G163" s="2" t="s">
        <v>108</v>
      </c>
      <c r="H163" s="2" t="s">
        <v>329</v>
      </c>
      <c r="I163" s="50"/>
      <c r="J163" s="50"/>
      <c r="K163" s="50"/>
      <c r="L163" s="2"/>
      <c r="M163" s="57"/>
      <c r="N163" s="58" t="s">
        <v>329</v>
      </c>
      <c r="O163" s="2" t="s">
        <v>547</v>
      </c>
      <c r="P163" s="2"/>
    </row>
    <row r="164" customFormat="false" ht="15" hidden="false" customHeight="false" outlineLevel="0" collapsed="false">
      <c r="A164" s="2" t="s">
        <v>76</v>
      </c>
      <c r="B164" s="2" t="s">
        <v>548</v>
      </c>
      <c r="C164" s="2" t="s">
        <v>254</v>
      </c>
      <c r="D164" s="59" t="n">
        <v>46293</v>
      </c>
      <c r="E164" s="2" t="s">
        <v>499</v>
      </c>
      <c r="F164" s="2" t="s">
        <v>504</v>
      </c>
      <c r="G164" s="2" t="s">
        <v>30</v>
      </c>
      <c r="H164" s="2" t="s">
        <v>487</v>
      </c>
      <c r="I164" s="45" t="n">
        <f aca="false">INDEX('Recurring Budgets'!$F$2:$F$125,MATCH(P164,'Recurring Budgets'!$A$2:$A$125,0))</f>
        <v>1.0833</v>
      </c>
      <c r="J164" s="45" t="n">
        <f aca="false">INDEX('Recurring Budgets'!$G$2:$G$125,MATCH(P164,'Recurring Budgets'!$A$2:$A$125,0))</f>
        <v>0.25</v>
      </c>
      <c r="K164" s="50" t="n">
        <f aca="false">I164+J164</f>
        <v>1.3333</v>
      </c>
      <c r="L164" s="2" t="n">
        <f aca="false">ROUND(K164*60,0)</f>
        <v>80</v>
      </c>
      <c r="M164" s="51" t="n">
        <f aca="false">INDEX('Recurring Budgets'!$M$2:$M$125,MATCH(P164,'Recurring Budgets'!$A$2:$A$125,0))</f>
        <v>165.4135</v>
      </c>
      <c r="N164" s="39" t="str">
        <f aca="false">INDEX('Recurring Budgets'!$P$2:$P$125,MATCH(P164,'Recurring Budgets'!$A$2:$A$125,0))</f>
        <v>Low – based on Valentina's hours</v>
      </c>
      <c r="O164" s="39" t="str">
        <f aca="false">INDEX('Recurring Budgets'!$Q$2:$Q$125,MATCH(P164,'Recurring Budgets'!$A$2:$A$125,0))</f>
        <v>Weekly bookkeeping/settlement time ÷ weeks per month. Review = Lisa oversight, 15 min per occurrence (work moving to Jessica).</v>
      </c>
      <c r="P164" s="2" t="s">
        <v>454</v>
      </c>
    </row>
    <row r="165" customFormat="false" ht="15" hidden="false" customHeight="false" outlineLevel="0" collapsed="false">
      <c r="A165" s="2" t="s">
        <v>76</v>
      </c>
      <c r="B165" s="2" t="s">
        <v>549</v>
      </c>
      <c r="C165" s="2" t="s">
        <v>287</v>
      </c>
      <c r="D165" s="59" t="n">
        <v>46293</v>
      </c>
      <c r="E165" s="2" t="s">
        <v>485</v>
      </c>
      <c r="F165" s="2" t="s">
        <v>504</v>
      </c>
      <c r="G165" s="2" t="s">
        <v>30</v>
      </c>
      <c r="H165" s="2" t="s">
        <v>487</v>
      </c>
      <c r="I165" s="45" t="n">
        <f aca="false">INDEX('Recurring Budgets'!$F$2:$F$125,MATCH(P165,'Recurring Budgets'!$A$2:$A$125,0))</f>
        <v>0.1667</v>
      </c>
      <c r="J165" s="45" t="n">
        <f aca="false">INDEX('Recurring Budgets'!$G$2:$G$125,MATCH(P165,'Recurring Budgets'!$A$2:$A$125,0))</f>
        <v>0</v>
      </c>
      <c r="K165" s="50" t="n">
        <f aca="false">I165+J165</f>
        <v>0.1667</v>
      </c>
      <c r="L165" s="2" t="n">
        <f aca="false">ROUND(K165*60,0)</f>
        <v>10</v>
      </c>
      <c r="M165" s="51" t="n">
        <f aca="false">INDEX('Recurring Budgets'!$M$2:$M$125,MATCH(P165,'Recurring Budgets'!$A$2:$A$125,0))</f>
        <v>41.675</v>
      </c>
      <c r="N165" s="39" t="str">
        <f aca="false">INDEX('Recurring Budgets'!$P$2:$P$125,MATCH(P165,'Recurring Budgets'!$A$2:$A$125,0))</f>
        <v>Low – based on Valentina's hours</v>
      </c>
      <c r="O165" s="39" t="str">
        <f aca="false">INDEX('Recurring Budgets'!$Q$2:$Q$125,MATCH(P165,'Recurring Budgets'!$A$2:$A$125,0))</f>
        <v>CFO cash-flow/advisory time ÷ weeks per month.</v>
      </c>
      <c r="P165" s="2" t="s">
        <v>456</v>
      </c>
    </row>
    <row r="166" customFormat="false" ht="15" hidden="false" customHeight="false" outlineLevel="0" collapsed="false">
      <c r="A166" s="2" t="s">
        <v>76</v>
      </c>
      <c r="B166" s="2" t="s">
        <v>123</v>
      </c>
      <c r="C166" s="2" t="s">
        <v>254</v>
      </c>
      <c r="D166" s="59" t="n">
        <v>46295</v>
      </c>
      <c r="E166" s="2" t="s">
        <v>503</v>
      </c>
      <c r="F166" s="2" t="s">
        <v>504</v>
      </c>
      <c r="G166" s="2" t="s">
        <v>108</v>
      </c>
      <c r="H166" s="2" t="s">
        <v>505</v>
      </c>
      <c r="I166" s="44" t="n">
        <v>3.5</v>
      </c>
      <c r="J166" s="44" t="n">
        <v>0</v>
      </c>
      <c r="K166" s="50" t="n">
        <f aca="false">I166+J166</f>
        <v>3.5</v>
      </c>
      <c r="L166" s="2" t="n">
        <f aca="false">ROUND(K166*60,0)</f>
        <v>210</v>
      </c>
      <c r="M166" s="51" t="n">
        <f aca="false">I166*Assumptions!$B$4+J166*Assumptions!$B$5</f>
        <v>332.5</v>
      </c>
      <c r="N166" s="52" t="s">
        <v>238</v>
      </c>
      <c r="O166" s="2" t="s">
        <v>550</v>
      </c>
      <c r="P166" s="2"/>
    </row>
    <row r="167" customFormat="false" ht="15" hidden="false" customHeight="false" outlineLevel="0" collapsed="false">
      <c r="A167" s="2" t="s">
        <v>76</v>
      </c>
      <c r="B167" s="2" t="s">
        <v>551</v>
      </c>
      <c r="C167" s="2" t="s">
        <v>254</v>
      </c>
      <c r="D167" s="59" t="n">
        <v>46300</v>
      </c>
      <c r="E167" s="2" t="s">
        <v>499</v>
      </c>
      <c r="F167" s="2" t="s">
        <v>489</v>
      </c>
      <c r="G167" s="2" t="s">
        <v>30</v>
      </c>
      <c r="H167" s="2" t="s">
        <v>487</v>
      </c>
      <c r="I167" s="45" t="n">
        <f aca="false">INDEX('Recurring Budgets'!$F$2:$F$125,MATCH(P167,'Recurring Budgets'!$A$2:$A$125,0))</f>
        <v>1.0833</v>
      </c>
      <c r="J167" s="45" t="n">
        <f aca="false">INDEX('Recurring Budgets'!$G$2:$G$125,MATCH(P167,'Recurring Budgets'!$A$2:$A$125,0))</f>
        <v>0.25</v>
      </c>
      <c r="K167" s="50" t="n">
        <f aca="false">I167+J167</f>
        <v>1.3333</v>
      </c>
      <c r="L167" s="2" t="n">
        <f aca="false">ROUND(K167*60,0)</f>
        <v>80</v>
      </c>
      <c r="M167" s="51" t="n">
        <f aca="false">INDEX('Recurring Budgets'!$M$2:$M$125,MATCH(P167,'Recurring Budgets'!$A$2:$A$125,0))</f>
        <v>165.4135</v>
      </c>
      <c r="N167" s="39" t="str">
        <f aca="false">INDEX('Recurring Budgets'!$P$2:$P$125,MATCH(P167,'Recurring Budgets'!$A$2:$A$125,0))</f>
        <v>Low – based on Valentina's hours</v>
      </c>
      <c r="O167" s="39" t="str">
        <f aca="false">INDEX('Recurring Budgets'!$Q$2:$Q$125,MATCH(P167,'Recurring Budgets'!$A$2:$A$125,0))</f>
        <v>Weekly bookkeeping/settlement time ÷ weeks per month. Review = Lisa oversight, 15 min per occurrence (work moving to Jessica).</v>
      </c>
      <c r="P167" s="2" t="s">
        <v>454</v>
      </c>
    </row>
    <row r="168" customFormat="false" ht="15" hidden="false" customHeight="false" outlineLevel="0" collapsed="false">
      <c r="A168" s="2" t="s">
        <v>76</v>
      </c>
      <c r="B168" s="2" t="s">
        <v>492</v>
      </c>
      <c r="C168" s="2" t="s">
        <v>242</v>
      </c>
      <c r="D168" s="59" t="n">
        <v>46302</v>
      </c>
      <c r="E168" s="2" t="s">
        <v>499</v>
      </c>
      <c r="F168" s="2" t="s">
        <v>495</v>
      </c>
      <c r="G168" s="2" t="s">
        <v>15</v>
      </c>
      <c r="H168" s="2" t="s">
        <v>487</v>
      </c>
      <c r="I168" s="45" t="n">
        <f aca="false">INDEX('Recurring Budgets'!$F$2:$F$125,MATCH(P168,'Recurring Budgets'!$A$2:$A$125,0))</f>
        <v>5.5833</v>
      </c>
      <c r="J168" s="45" t="n">
        <f aca="false">INDEX('Recurring Budgets'!$G$2:$G$125,MATCH(P168,'Recurring Budgets'!$A$2:$A$125,0))</f>
        <v>0.5</v>
      </c>
      <c r="K168" s="50" t="n">
        <f aca="false">I168+J168</f>
        <v>6.0833</v>
      </c>
      <c r="L168" s="2" t="n">
        <f aca="false">ROUND(K168*60,0)</f>
        <v>365</v>
      </c>
      <c r="M168" s="51" t="n">
        <f aca="false">INDEX('Recurring Budgets'!$M$2:$M$125,MATCH(P168,'Recurring Budgets'!$A$2:$A$125,0))</f>
        <v>655.4135</v>
      </c>
      <c r="N168" s="39" t="str">
        <f aca="false">INDEX('Recurring Budgets'!$P$2:$P$125,MATCH(P168,'Recurring Budgets'!$A$2:$A$125,0))</f>
        <v>Low – based on Valentina's hours</v>
      </c>
      <c r="O168" s="39" t="str">
        <f aca="false">INDEX('Recurring Budgets'!$Q$2:$Q$125,MATCH(P168,'Recurring Budgets'!$A$2:$A$125,0))</f>
        <v>Includes Month-end 3.2. Review = median of 5 closes reviewed in Harvest (0.50h).</v>
      </c>
      <c r="P168" s="2" t="s">
        <v>450</v>
      </c>
    </row>
    <row r="169" customFormat="false" ht="15" hidden="false" customHeight="false" outlineLevel="0" collapsed="false">
      <c r="A169" s="2" t="s">
        <v>76</v>
      </c>
      <c r="B169" s="2" t="s">
        <v>552</v>
      </c>
      <c r="C169" s="2" t="s">
        <v>384</v>
      </c>
      <c r="D169" s="59" t="n">
        <v>46304</v>
      </c>
      <c r="E169" s="2" t="s">
        <v>499</v>
      </c>
      <c r="F169" s="2" t="s">
        <v>489</v>
      </c>
      <c r="G169" s="2" t="s">
        <v>56</v>
      </c>
      <c r="H169" s="2" t="s">
        <v>487</v>
      </c>
      <c r="I169" s="45" t="n">
        <f aca="false">INDEX('Recurring Budgets'!$F$2:$F$125,MATCH(P169,'Recurring Budgets'!$A$2:$A$125,0))</f>
        <v>4.25</v>
      </c>
      <c r="J169" s="45" t="n">
        <f aca="false">INDEX('Recurring Budgets'!$G$2:$G$125,MATCH(P169,'Recurring Budgets'!$A$2:$A$125,0))</f>
        <v>0.25</v>
      </c>
      <c r="K169" s="50" t="n">
        <f aca="false">I169+J169</f>
        <v>4.5</v>
      </c>
      <c r="L169" s="2" t="n">
        <f aca="false">ROUND(K169*60,0)</f>
        <v>270</v>
      </c>
      <c r="M169" s="51" t="n">
        <f aca="false">INDEX('Recurring Budgets'!$M$2:$M$125,MATCH(P169,'Recurring Budgets'!$A$2:$A$125,0))</f>
        <v>466.25</v>
      </c>
      <c r="N169" s="39" t="str">
        <f aca="false">INDEX('Recurring Budgets'!$P$2:$P$125,MATCH(P169,'Recurring Budgets'!$A$2:$A$125,0))</f>
        <v>Low – based on Valentina's hours</v>
      </c>
      <c r="O169" s="39" t="str">
        <f aca="false">INDEX('Recurring Budgets'!$Q$2:$Q$125,MATCH(P169,'Recurring Budgets'!$A$2:$A$125,0))</f>
        <v>Payroll time ÷ pay periods per month. Review = Lisa oversight, 15 min per occurrence (work moving to Jessica).</v>
      </c>
      <c r="P169" s="2" t="s">
        <v>448</v>
      </c>
    </row>
    <row r="170" customFormat="false" ht="15" hidden="false" customHeight="false" outlineLevel="0" collapsed="false">
      <c r="A170" s="2" t="s">
        <v>76</v>
      </c>
      <c r="B170" s="2" t="s">
        <v>553</v>
      </c>
      <c r="C170" s="2" t="s">
        <v>251</v>
      </c>
      <c r="D170" s="59" t="n">
        <v>46310</v>
      </c>
      <c r="E170" s="2" t="s">
        <v>499</v>
      </c>
      <c r="F170" s="2" t="s">
        <v>504</v>
      </c>
      <c r="G170" s="2" t="s">
        <v>15</v>
      </c>
      <c r="H170" s="2" t="s">
        <v>487</v>
      </c>
      <c r="I170" s="45" t="n">
        <f aca="false">INDEX('Recurring Budgets'!$F$2:$F$125,MATCH(P170,'Recurring Budgets'!$A$2:$A$125,0))</f>
        <v>4.4167</v>
      </c>
      <c r="J170" s="45" t="n">
        <f aca="false">INDEX('Recurring Budgets'!$G$2:$G$125,MATCH(P170,'Recurring Budgets'!$A$2:$A$125,0))</f>
        <v>0</v>
      </c>
      <c r="K170" s="50" t="n">
        <f aca="false">I170+J170</f>
        <v>4.4167</v>
      </c>
      <c r="L170" s="2" t="n">
        <f aca="false">ROUND(K170*60,0)</f>
        <v>265</v>
      </c>
      <c r="M170" s="51" t="n">
        <f aca="false">INDEX('Recurring Budgets'!$M$2:$M$125,MATCH(P170,'Recurring Budgets'!$A$2:$A$125,0))</f>
        <v>419.5865</v>
      </c>
      <c r="N170" s="39" t="str">
        <f aca="false">INDEX('Recurring Budgets'!$P$2:$P$125,MATCH(P170,'Recurring Budgets'!$A$2:$A$125,0))</f>
        <v>Low – based on Valentina's hours</v>
      </c>
      <c r="O170" s="39" t="str">
        <f aca="false">INDEX('Recurring Budgets'!$Q$2:$Q$125,MATCH(P170,'Recurring Budgets'!$A$2:$A$125,0))</f>
        <v>Sales tax time per month.</v>
      </c>
      <c r="P170" s="2" t="s">
        <v>452</v>
      </c>
    </row>
    <row r="171" customFormat="false" ht="15" hidden="false" customHeight="false" outlineLevel="0" collapsed="false">
      <c r="A171" s="2" t="s">
        <v>76</v>
      </c>
      <c r="B171" s="2" t="s">
        <v>237</v>
      </c>
      <c r="C171" s="2" t="s">
        <v>170</v>
      </c>
      <c r="D171" s="59" t="n">
        <v>46325</v>
      </c>
      <c r="E171" s="2" t="s">
        <v>488</v>
      </c>
      <c r="F171" s="2" t="s">
        <v>489</v>
      </c>
      <c r="G171" s="2" t="s">
        <v>170</v>
      </c>
      <c r="H171" s="2" t="s">
        <v>490</v>
      </c>
      <c r="I171" s="45" t="n">
        <f aca="false">INDEX('1099 Oct 30'!$F$5:$F$45,MATCH(P171,'1099 Oct 30'!$A$5:$A$45,0))</f>
        <v>0.75</v>
      </c>
      <c r="J171" s="44" t="n">
        <v>0</v>
      </c>
      <c r="K171" s="50" t="n">
        <f aca="false">I171+J171</f>
        <v>0.75</v>
      </c>
      <c r="L171" s="2" t="n">
        <f aca="false">ROUND(K171*60,0)</f>
        <v>45</v>
      </c>
      <c r="M171" s="51" t="n">
        <f aca="false">I171*Assumptions!$B$4</f>
        <v>71.25</v>
      </c>
      <c r="N171" s="52" t="s">
        <v>238</v>
      </c>
      <c r="O171" s="2" t="s">
        <v>491</v>
      </c>
      <c r="P171" s="2" t="s">
        <v>76</v>
      </c>
    </row>
    <row r="172" customFormat="false" ht="15" hidden="false" customHeight="false" outlineLevel="0" collapsed="false">
      <c r="A172" s="2" t="s">
        <v>81</v>
      </c>
      <c r="B172" s="2" t="s">
        <v>492</v>
      </c>
      <c r="C172" s="2" t="s">
        <v>242</v>
      </c>
      <c r="D172" s="59" t="n">
        <v>46301</v>
      </c>
      <c r="E172" s="2" t="s">
        <v>499</v>
      </c>
      <c r="F172" s="2" t="s">
        <v>495</v>
      </c>
      <c r="G172" s="2" t="s">
        <v>15</v>
      </c>
      <c r="H172" s="2" t="s">
        <v>487</v>
      </c>
      <c r="I172" s="45" t="n">
        <f aca="false">INDEX('Recurring Budgets'!$F$2:$F$125,MATCH(P172,'Recurring Budgets'!$A$2:$A$125,0))</f>
        <v>0.5</v>
      </c>
      <c r="J172" s="45" t="n">
        <f aca="false">INDEX('Recurring Budgets'!$G$2:$G$125,MATCH(P172,'Recurring Budgets'!$A$2:$A$125,0))</f>
        <v>0.6</v>
      </c>
      <c r="K172" s="50" t="n">
        <f aca="false">I172+J172</f>
        <v>1.1</v>
      </c>
      <c r="L172" s="2" t="n">
        <f aca="false">ROUND(K172*60,0)</f>
        <v>66</v>
      </c>
      <c r="M172" s="51" t="n">
        <f aca="false">INDEX('Recurring Budgets'!$M$2:$M$125,MATCH(P172,'Recurring Budgets'!$A$2:$A$125,0))</f>
        <v>197.5</v>
      </c>
      <c r="N172" s="39" t="str">
        <f aca="false">INDEX('Recurring Budgets'!$P$2:$P$125,MATCH(P172,'Recurring Budgets'!$A$2:$A$125,0))</f>
        <v>Medium</v>
      </c>
      <c r="O172" s="39" t="str">
        <f aca="false">INDEX('Recurring Budgets'!$Q$2:$Q$125,MATCH(P172,'Recurring Budgets'!$A$2:$A$125,0))</f>
        <v>Josephine's Apr–May 2026 closes + allowance for a new person (Valentina's hours not used). Review = median of 8 closes reviewed in Harvest (0.60h).</v>
      </c>
      <c r="P172" s="2" t="s">
        <v>459</v>
      </c>
    </row>
    <row r="173" customFormat="false" ht="15" hidden="false" customHeight="false" outlineLevel="0" collapsed="false">
      <c r="A173" s="2" t="s">
        <v>81</v>
      </c>
      <c r="B173" s="2" t="s">
        <v>237</v>
      </c>
      <c r="C173" s="2" t="s">
        <v>170</v>
      </c>
      <c r="D173" s="59" t="n">
        <v>46325</v>
      </c>
      <c r="E173" s="2" t="s">
        <v>488</v>
      </c>
      <c r="F173" s="2" t="s">
        <v>489</v>
      </c>
      <c r="G173" s="2" t="s">
        <v>170</v>
      </c>
      <c r="H173" s="2" t="s">
        <v>490</v>
      </c>
      <c r="I173" s="45" t="n">
        <f aca="false">INDEX('1099 Oct 30'!$F$5:$F$45,MATCH(P173,'1099 Oct 30'!$A$5:$A$45,0))</f>
        <v>0.75</v>
      </c>
      <c r="J173" s="44" t="n">
        <v>0</v>
      </c>
      <c r="K173" s="50" t="n">
        <f aca="false">I173+J173</f>
        <v>0.75</v>
      </c>
      <c r="L173" s="2" t="n">
        <f aca="false">ROUND(K173*60,0)</f>
        <v>45</v>
      </c>
      <c r="M173" s="51" t="n">
        <f aca="false">I173*Assumptions!$B$4</f>
        <v>71.25</v>
      </c>
      <c r="N173" s="52" t="s">
        <v>238</v>
      </c>
      <c r="O173" s="2" t="s">
        <v>491</v>
      </c>
      <c r="P173" s="2" t="s">
        <v>81</v>
      </c>
    </row>
    <row r="174" customFormat="false" ht="15" hidden="false" customHeight="false" outlineLevel="0" collapsed="false">
      <c r="A174" s="2" t="s">
        <v>82</v>
      </c>
      <c r="B174" s="2" t="s">
        <v>554</v>
      </c>
      <c r="C174" s="2" t="s">
        <v>251</v>
      </c>
      <c r="D174" s="59" t="n">
        <v>46280</v>
      </c>
      <c r="E174" s="2" t="s">
        <v>499</v>
      </c>
      <c r="F174" s="2" t="s">
        <v>495</v>
      </c>
      <c r="G174" s="2" t="s">
        <v>15</v>
      </c>
      <c r="H174" s="2" t="s">
        <v>487</v>
      </c>
      <c r="I174" s="45" t="n">
        <f aca="false">INDEX('Recurring Budgets'!$F$2:$F$125,MATCH(P174,'Recurring Budgets'!$A$2:$A$125,0))</f>
        <v>4.4167</v>
      </c>
      <c r="J174" s="45" t="n">
        <f aca="false">INDEX('Recurring Budgets'!$G$2:$G$125,MATCH(P174,'Recurring Budgets'!$A$2:$A$125,0))</f>
        <v>0</v>
      </c>
      <c r="K174" s="50" t="n">
        <f aca="false">I174+J174</f>
        <v>4.4167</v>
      </c>
      <c r="L174" s="2" t="n">
        <f aca="false">ROUND(K174*60,0)</f>
        <v>265</v>
      </c>
      <c r="M174" s="51" t="n">
        <f aca="false">INDEX('Recurring Budgets'!$M$2:$M$125,MATCH(P174,'Recurring Budgets'!$A$2:$A$125,0))</f>
        <v>419.5865</v>
      </c>
      <c r="N174" s="39" t="str">
        <f aca="false">INDEX('Recurring Budgets'!$P$2:$P$125,MATCH(P174,'Recurring Budgets'!$A$2:$A$125,0))</f>
        <v>Provisional</v>
      </c>
      <c r="O174" s="39" t="str">
        <f aca="false">INDEX('Recurring Budgets'!$Q$2:$Q$125,MATCH(P174,'Recurring Budgets'!$A$2:$A$125,0))</f>
        <v>Sales tax time per month. Opened Sept 2026 – provisional, modelled on VV1012 (operating Toast restaurant). Revisit after 2–3 months open.</v>
      </c>
      <c r="P174" s="2" t="s">
        <v>467</v>
      </c>
    </row>
    <row r="175" customFormat="false" ht="15" hidden="false" customHeight="false" outlineLevel="0" collapsed="false">
      <c r="A175" s="2" t="s">
        <v>82</v>
      </c>
      <c r="B175" s="2" t="s">
        <v>548</v>
      </c>
      <c r="C175" s="2" t="s">
        <v>248</v>
      </c>
      <c r="D175" s="59" t="n">
        <v>46293</v>
      </c>
      <c r="E175" s="2" t="s">
        <v>499</v>
      </c>
      <c r="F175" s="2" t="s">
        <v>504</v>
      </c>
      <c r="G175" s="2" t="s">
        <v>30</v>
      </c>
      <c r="H175" s="2" t="s">
        <v>487</v>
      </c>
      <c r="I175" s="45" t="n">
        <f aca="false">INDEX('Recurring Budgets'!$F$2:$F$125,MATCH(P175,'Recurring Budgets'!$A$2:$A$125,0))</f>
        <v>1.0833</v>
      </c>
      <c r="J175" s="45" t="n">
        <f aca="false">INDEX('Recurring Budgets'!$G$2:$G$125,MATCH(P175,'Recurring Budgets'!$A$2:$A$125,0))</f>
        <v>0.25</v>
      </c>
      <c r="K175" s="50" t="n">
        <f aca="false">I175+J175</f>
        <v>1.3333</v>
      </c>
      <c r="L175" s="2" t="n">
        <f aca="false">ROUND(K175*60,0)</f>
        <v>80</v>
      </c>
      <c r="M175" s="51" t="n">
        <f aca="false">INDEX('Recurring Budgets'!$M$2:$M$125,MATCH(P175,'Recurring Budgets'!$A$2:$A$125,0))</f>
        <v>165.4135</v>
      </c>
      <c r="N175" s="39" t="str">
        <f aca="false">INDEX('Recurring Budgets'!$P$2:$P$125,MATCH(P175,'Recurring Budgets'!$A$2:$A$125,0))</f>
        <v>Provisional</v>
      </c>
      <c r="O175" s="39" t="str">
        <f aca="false">INDEX('Recurring Budgets'!$Q$2:$Q$125,MATCH(P175,'Recurring Budgets'!$A$2:$A$125,0))</f>
        <v>Weekly bookkeeping/settlement time ÷ weeks per month. Opened Sept 2026 – provisional, modelled on VV1012 (operating Toast restaurant). Revisit after 2–3 months open. Review = Lisa oversight, 15 min per occurrence (work moving to Jessica).</v>
      </c>
      <c r="P175" s="2" t="s">
        <v>469</v>
      </c>
    </row>
    <row r="176" customFormat="false" ht="15" hidden="false" customHeight="false" outlineLevel="0" collapsed="false">
      <c r="A176" s="2" t="s">
        <v>82</v>
      </c>
      <c r="B176" s="2" t="s">
        <v>549</v>
      </c>
      <c r="C176" s="2" t="s">
        <v>248</v>
      </c>
      <c r="D176" s="59" t="n">
        <v>46293</v>
      </c>
      <c r="E176" s="2" t="s">
        <v>485</v>
      </c>
      <c r="F176" s="2" t="s">
        <v>504</v>
      </c>
      <c r="G176" s="2" t="s">
        <v>30</v>
      </c>
      <c r="H176" s="2" t="s">
        <v>487</v>
      </c>
      <c r="I176" s="45" t="n">
        <f aca="false">INDEX('Recurring Budgets'!$F$2:$F$125,MATCH(P176,'Recurring Budgets'!$A$2:$A$125,0))</f>
        <v>0.1667</v>
      </c>
      <c r="J176" s="45" t="n">
        <f aca="false">INDEX('Recurring Budgets'!$G$2:$G$125,MATCH(P176,'Recurring Budgets'!$A$2:$A$125,0))</f>
        <v>0</v>
      </c>
      <c r="K176" s="50" t="n">
        <f aca="false">I176+J176</f>
        <v>0.1667</v>
      </c>
      <c r="L176" s="2" t="n">
        <f aca="false">ROUND(K176*60,0)</f>
        <v>10</v>
      </c>
      <c r="M176" s="51" t="n">
        <f aca="false">INDEX('Recurring Budgets'!$M$2:$M$125,MATCH(P176,'Recurring Budgets'!$A$2:$A$125,0))</f>
        <v>41.675</v>
      </c>
      <c r="N176" s="39" t="str">
        <f aca="false">INDEX('Recurring Budgets'!$P$2:$P$125,MATCH(P176,'Recurring Budgets'!$A$2:$A$125,0))</f>
        <v>Provisional</v>
      </c>
      <c r="O176" s="39" t="str">
        <f aca="false">INDEX('Recurring Budgets'!$Q$2:$Q$125,MATCH(P176,'Recurring Budgets'!$A$2:$A$125,0))</f>
        <v>CFO cash-flow/advisory time ÷ weeks per month. Opened Sept 2026 – provisional, modelled on VV1012 (operating Toast restaurant). Revisit after 2–3 months open.</v>
      </c>
      <c r="P176" s="2" t="s">
        <v>471</v>
      </c>
    </row>
    <row r="177" customFormat="false" ht="15" hidden="false" customHeight="false" outlineLevel="0" collapsed="false">
      <c r="A177" s="2" t="s">
        <v>82</v>
      </c>
      <c r="B177" s="2" t="s">
        <v>555</v>
      </c>
      <c r="C177" s="2" t="s">
        <v>248</v>
      </c>
      <c r="D177" s="59" t="n">
        <v>46295</v>
      </c>
      <c r="E177" s="2" t="s">
        <v>503</v>
      </c>
      <c r="F177" s="2" t="s">
        <v>504</v>
      </c>
      <c r="G177" s="2" t="s">
        <v>56</v>
      </c>
      <c r="H177" s="2" t="s">
        <v>487</v>
      </c>
      <c r="I177" s="45" t="n">
        <f aca="false">INDEX('Recurring Budgets'!$F$2:$F$125,MATCH(P177,'Recurring Budgets'!$A$2:$A$125,0))</f>
        <v>4.25</v>
      </c>
      <c r="J177" s="45" t="n">
        <f aca="false">INDEX('Recurring Budgets'!$G$2:$G$125,MATCH(P177,'Recurring Budgets'!$A$2:$A$125,0))</f>
        <v>0.25</v>
      </c>
      <c r="K177" s="50" t="n">
        <f aca="false">I177+J177</f>
        <v>4.5</v>
      </c>
      <c r="L177" s="2" t="n">
        <f aca="false">ROUND(K177*60,0)</f>
        <v>270</v>
      </c>
      <c r="M177" s="51" t="n">
        <f aca="false">INDEX('Recurring Budgets'!$M$2:$M$125,MATCH(P177,'Recurring Budgets'!$A$2:$A$125,0))</f>
        <v>466.25</v>
      </c>
      <c r="N177" s="39" t="str">
        <f aca="false">INDEX('Recurring Budgets'!$P$2:$P$125,MATCH(P177,'Recurring Budgets'!$A$2:$A$125,0))</f>
        <v>Provisional</v>
      </c>
      <c r="O177" s="39" t="str">
        <f aca="false">INDEX('Recurring Budgets'!$Q$2:$Q$125,MATCH(P177,'Recurring Budgets'!$A$2:$A$125,0))</f>
        <v>Payroll time ÷ pay periods per month. Opened Sept 2026 – provisional, modelled on VV1012 (operating Toast restaurant). Revisit after 2–3 months open. Review = Lisa oversight, 15 min per occurrence (work moving to Jessica).</v>
      </c>
      <c r="P177" s="2" t="s">
        <v>463</v>
      </c>
    </row>
    <row r="178" customFormat="false" ht="15" hidden="false" customHeight="false" outlineLevel="0" collapsed="false">
      <c r="A178" s="2" t="s">
        <v>82</v>
      </c>
      <c r="B178" s="2" t="s">
        <v>123</v>
      </c>
      <c r="C178" s="2" t="s">
        <v>502</v>
      </c>
      <c r="D178" s="59" t="n">
        <v>46295</v>
      </c>
      <c r="E178" s="2" t="s">
        <v>503</v>
      </c>
      <c r="F178" s="2" t="s">
        <v>504</v>
      </c>
      <c r="G178" s="2" t="s">
        <v>108</v>
      </c>
      <c r="H178" s="2" t="s">
        <v>505</v>
      </c>
      <c r="I178" s="44" t="n">
        <v>3.5</v>
      </c>
      <c r="J178" s="44" t="n">
        <v>0</v>
      </c>
      <c r="K178" s="50" t="n">
        <f aca="false">I178+J178</f>
        <v>3.5</v>
      </c>
      <c r="L178" s="2" t="n">
        <f aca="false">ROUND(K178*60,0)</f>
        <v>210</v>
      </c>
      <c r="M178" s="51" t="n">
        <f aca="false">I178*Assumptions!$B$4+J178*Assumptions!$B$5</f>
        <v>332.5</v>
      </c>
      <c r="N178" s="52" t="s">
        <v>238</v>
      </c>
      <c r="O178" s="2" t="s">
        <v>550</v>
      </c>
      <c r="P178" s="2"/>
    </row>
    <row r="179" customFormat="false" ht="15" hidden="false" customHeight="false" outlineLevel="0" collapsed="false">
      <c r="A179" s="2" t="s">
        <v>82</v>
      </c>
      <c r="B179" s="2" t="s">
        <v>492</v>
      </c>
      <c r="C179" s="2" t="s">
        <v>242</v>
      </c>
      <c r="D179" s="59" t="n">
        <v>46301</v>
      </c>
      <c r="E179" s="2" t="s">
        <v>499</v>
      </c>
      <c r="F179" s="2" t="s">
        <v>495</v>
      </c>
      <c r="G179" s="2" t="s">
        <v>15</v>
      </c>
      <c r="H179" s="2" t="s">
        <v>487</v>
      </c>
      <c r="I179" s="45" t="n">
        <f aca="false">INDEX('Recurring Budgets'!$F$2:$F$125,MATCH(P179,'Recurring Budgets'!$A$2:$A$125,0))</f>
        <v>5.5</v>
      </c>
      <c r="J179" s="45" t="n">
        <f aca="false">INDEX('Recurring Budgets'!$G$2:$G$125,MATCH(P179,'Recurring Budgets'!$A$2:$A$125,0))</f>
        <v>0.6</v>
      </c>
      <c r="K179" s="50" t="n">
        <f aca="false">I179+J179</f>
        <v>6.1</v>
      </c>
      <c r="L179" s="2" t="n">
        <f aca="false">ROUND(K179*60,0)</f>
        <v>366</v>
      </c>
      <c r="M179" s="51" t="n">
        <f aca="false">INDEX('Recurring Budgets'!$M$2:$M$125,MATCH(P179,'Recurring Budgets'!$A$2:$A$125,0))</f>
        <v>672.5</v>
      </c>
      <c r="N179" s="39" t="str">
        <f aca="false">INDEX('Recurring Budgets'!$P$2:$P$125,MATCH(P179,'Recurring Budgets'!$A$2:$A$125,0))</f>
        <v>Provisional</v>
      </c>
      <c r="O179" s="39" t="str">
        <f aca="false">INDEX('Recurring Budgets'!$Q$2:$Q$125,MATCH(P179,'Recurring Budgets'!$A$2:$A$125,0))</f>
        <v>Includes Month-end 3.2. Opened Sept 2026 – provisional, modelled on VV1012 (operating Toast restaurant). Revisit after 2–3 months open. Review = median of 10 closes reviewed in Harvest (0.60h).</v>
      </c>
      <c r="P179" s="2" t="s">
        <v>465</v>
      </c>
    </row>
    <row r="180" customFormat="false" ht="15" hidden="false" customHeight="false" outlineLevel="0" collapsed="false">
      <c r="A180" s="2" t="s">
        <v>82</v>
      </c>
      <c r="B180" s="2" t="s">
        <v>529</v>
      </c>
      <c r="C180" s="2" t="s">
        <v>251</v>
      </c>
      <c r="D180" s="59" t="n">
        <v>46310</v>
      </c>
      <c r="E180" s="2" t="s">
        <v>525</v>
      </c>
      <c r="F180" s="2" t="s">
        <v>489</v>
      </c>
      <c r="G180" s="2" t="s">
        <v>15</v>
      </c>
      <c r="H180" s="2" t="s">
        <v>487</v>
      </c>
      <c r="I180" s="45" t="n">
        <f aca="false">INDEX('Recurring Budgets'!$F$2:$F$125,MATCH(P180,'Recurring Budgets'!$A$2:$A$125,0))</f>
        <v>4.4167</v>
      </c>
      <c r="J180" s="45" t="n">
        <f aca="false">INDEX('Recurring Budgets'!$G$2:$G$125,MATCH(P180,'Recurring Budgets'!$A$2:$A$125,0))</f>
        <v>0</v>
      </c>
      <c r="K180" s="50" t="n">
        <f aca="false">I180+J180</f>
        <v>4.4167</v>
      </c>
      <c r="L180" s="2" t="n">
        <f aca="false">ROUND(K180*60,0)</f>
        <v>265</v>
      </c>
      <c r="M180" s="51" t="n">
        <f aca="false">INDEX('Recurring Budgets'!$M$2:$M$125,MATCH(P180,'Recurring Budgets'!$A$2:$A$125,0))</f>
        <v>419.5865</v>
      </c>
      <c r="N180" s="39" t="str">
        <f aca="false">INDEX('Recurring Budgets'!$P$2:$P$125,MATCH(P180,'Recurring Budgets'!$A$2:$A$125,0))</f>
        <v>Provisional</v>
      </c>
      <c r="O180" s="39" t="str">
        <f aca="false">INDEX('Recurring Budgets'!$Q$2:$Q$125,MATCH(P180,'Recurring Budgets'!$A$2:$A$125,0))</f>
        <v>Sales tax time per month. Opened Sept 2026 – provisional, modelled on VV1012 (operating Toast restaurant). Revisit after 2–3 months open.</v>
      </c>
      <c r="P180" s="2" t="s">
        <v>467</v>
      </c>
    </row>
    <row r="181" customFormat="false" ht="15" hidden="false" customHeight="false" outlineLevel="0" collapsed="false">
      <c r="A181" s="2" t="s">
        <v>82</v>
      </c>
      <c r="B181" s="2" t="s">
        <v>237</v>
      </c>
      <c r="C181" s="2" t="s">
        <v>170</v>
      </c>
      <c r="D181" s="59" t="n">
        <v>46325</v>
      </c>
      <c r="E181" s="2" t="s">
        <v>488</v>
      </c>
      <c r="F181" s="2" t="s">
        <v>489</v>
      </c>
      <c r="G181" s="2" t="s">
        <v>170</v>
      </c>
      <c r="H181" s="2" t="s">
        <v>490</v>
      </c>
      <c r="I181" s="45" t="n">
        <f aca="false">INDEX('1099 Oct 30'!$F$5:$F$45,MATCH(P181,'1099 Oct 30'!$A$5:$A$45,0))</f>
        <v>0.75</v>
      </c>
      <c r="J181" s="44" t="n">
        <v>0</v>
      </c>
      <c r="K181" s="50" t="n">
        <f aca="false">I181+J181</f>
        <v>0.75</v>
      </c>
      <c r="L181" s="2" t="n">
        <f aca="false">ROUND(K181*60,0)</f>
        <v>45</v>
      </c>
      <c r="M181" s="51" t="n">
        <f aca="false">I181*Assumptions!$B$4</f>
        <v>71.25</v>
      </c>
      <c r="N181" s="52" t="s">
        <v>238</v>
      </c>
      <c r="O181" s="2" t="s">
        <v>491</v>
      </c>
      <c r="P181" s="2" t="s">
        <v>82</v>
      </c>
    </row>
    <row r="182" customFormat="false" ht="15" hidden="false" customHeight="false" outlineLevel="0" collapsed="false">
      <c r="A182" s="2" t="s">
        <v>83</v>
      </c>
      <c r="B182" s="2" t="s">
        <v>556</v>
      </c>
      <c r="C182" s="2" t="s">
        <v>248</v>
      </c>
      <c r="D182" s="59" t="n">
        <v>46218</v>
      </c>
      <c r="E182" s="2" t="s">
        <v>503</v>
      </c>
      <c r="F182" s="2" t="s">
        <v>495</v>
      </c>
      <c r="G182" s="2" t="s">
        <v>13</v>
      </c>
      <c r="H182" s="2" t="s">
        <v>487</v>
      </c>
      <c r="I182" s="45" t="n">
        <f aca="false">INDEX('Recurring Budgets'!$F$2:$F$125,MATCH(P182,'Recurring Budgets'!$A$2:$A$125,0))</f>
        <v>7.5833</v>
      </c>
      <c r="J182" s="45" t="n">
        <f aca="false">INDEX('Recurring Budgets'!$G$2:$G$125,MATCH(P182,'Recurring Budgets'!$A$2:$A$125,0))</f>
        <v>1</v>
      </c>
      <c r="K182" s="50" t="n">
        <f aca="false">I182+J182</f>
        <v>8.5833</v>
      </c>
      <c r="L182" s="2" t="n">
        <f aca="false">ROUND(K182*60,0)</f>
        <v>515</v>
      </c>
      <c r="M182" s="51" t="n">
        <f aca="false">INDEX('Recurring Budgets'!$M$2:$M$125,MATCH(P182,'Recurring Budgets'!$A$2:$A$125,0))</f>
        <v>970.4135</v>
      </c>
      <c r="N182" s="39" t="str">
        <f aca="false">INDEX('Recurring Budgets'!$P$2:$P$125,MATCH(P182,'Recurring Budgets'!$A$2:$A$125,0))</f>
        <v>Low – based on Valentina's hours</v>
      </c>
      <c r="O182" s="39" t="str">
        <f aca="false">INDEX('Recurring Budgets'!$Q$2:$Q$125,MATCH(P182,'Recurring Budgets'!$A$2:$A$125,0))</f>
        <v>Includes Month-end 6.5, Payroll 1.2. Review = 0.35h as logged (only 1 reviewed close(s) in Harvest – check). Quarterly review from history: Lisa Q1–Q2 2025 1.5h (two quarters), Q3 2025 0.7h, Q4 2025 1.25h – about 1h per quarter.</v>
      </c>
      <c r="P182" s="2" t="s">
        <v>474</v>
      </c>
    </row>
    <row r="183" customFormat="false" ht="15" hidden="false" customHeight="false" outlineLevel="0" collapsed="false">
      <c r="A183" s="2" t="s">
        <v>83</v>
      </c>
      <c r="B183" s="2" t="s">
        <v>494</v>
      </c>
      <c r="C183" s="2" t="s">
        <v>248</v>
      </c>
      <c r="D183" s="59" t="n">
        <v>46315</v>
      </c>
      <c r="E183" s="2" t="s">
        <v>499</v>
      </c>
      <c r="F183" s="2" t="s">
        <v>495</v>
      </c>
      <c r="G183" s="2" t="s">
        <v>13</v>
      </c>
      <c r="H183" s="2" t="s">
        <v>487</v>
      </c>
      <c r="I183" s="45" t="n">
        <f aca="false">INDEX('Recurring Budgets'!$F$2:$F$125,MATCH(P183,'Recurring Budgets'!$A$2:$A$125,0))</f>
        <v>7.5833</v>
      </c>
      <c r="J183" s="45" t="n">
        <f aca="false">INDEX('Recurring Budgets'!$G$2:$G$125,MATCH(P183,'Recurring Budgets'!$A$2:$A$125,0))</f>
        <v>1</v>
      </c>
      <c r="K183" s="50" t="n">
        <f aca="false">I183+J183</f>
        <v>8.5833</v>
      </c>
      <c r="L183" s="2" t="n">
        <f aca="false">ROUND(K183*60,0)</f>
        <v>515</v>
      </c>
      <c r="M183" s="51" t="n">
        <f aca="false">INDEX('Recurring Budgets'!$M$2:$M$125,MATCH(P183,'Recurring Budgets'!$A$2:$A$125,0))</f>
        <v>970.4135</v>
      </c>
      <c r="N183" s="39" t="str">
        <f aca="false">INDEX('Recurring Budgets'!$P$2:$P$125,MATCH(P183,'Recurring Budgets'!$A$2:$A$125,0))</f>
        <v>Low – based on Valentina's hours</v>
      </c>
      <c r="O183" s="39" t="str">
        <f aca="false">INDEX('Recurring Budgets'!$Q$2:$Q$125,MATCH(P183,'Recurring Budgets'!$A$2:$A$125,0))</f>
        <v>Includes Month-end 6.5, Payroll 1.2. Review = 0.35h as logged (only 1 reviewed close(s) in Harvest – check). Quarterly review from history: Lisa Q1–Q2 2025 1.5h (two quarters), Q3 2025 0.7h, Q4 2025 1.25h – about 1h per quarter.</v>
      </c>
      <c r="P183" s="2" t="s">
        <v>474</v>
      </c>
    </row>
    <row r="184" customFormat="false" ht="15" hidden="false" customHeight="false" outlineLevel="0" collapsed="false">
      <c r="A184" s="2" t="s">
        <v>83</v>
      </c>
      <c r="B184" s="2" t="s">
        <v>237</v>
      </c>
      <c r="C184" s="2" t="s">
        <v>170</v>
      </c>
      <c r="D184" s="59" t="n">
        <v>46325</v>
      </c>
      <c r="E184" s="2" t="s">
        <v>488</v>
      </c>
      <c r="F184" s="2" t="s">
        <v>489</v>
      </c>
      <c r="G184" s="2" t="s">
        <v>170</v>
      </c>
      <c r="H184" s="2" t="s">
        <v>490</v>
      </c>
      <c r="I184" s="45" t="n">
        <f aca="false">INDEX('1099 Oct 30'!$F$5:$F$45,MATCH(P184,'1099 Oct 30'!$A$5:$A$45,0))</f>
        <v>0.75</v>
      </c>
      <c r="J184" s="44" t="n">
        <v>0</v>
      </c>
      <c r="K184" s="50" t="n">
        <f aca="false">I184+J184</f>
        <v>0.75</v>
      </c>
      <c r="L184" s="2" t="n">
        <f aca="false">ROUND(K184*60,0)</f>
        <v>45</v>
      </c>
      <c r="M184" s="51" t="n">
        <f aca="false">I184*Assumptions!$B$4</f>
        <v>71.25</v>
      </c>
      <c r="N184" s="52" t="s">
        <v>238</v>
      </c>
      <c r="O184" s="2" t="s">
        <v>491</v>
      </c>
      <c r="P184" s="2" t="s">
        <v>83</v>
      </c>
    </row>
    <row r="185" customFormat="false" ht="15" hidden="false" customHeight="false" outlineLevel="0" collapsed="false">
      <c r="A185" s="2"/>
      <c r="B185" s="2"/>
      <c r="C185" s="2"/>
      <c r="D185" s="2"/>
      <c r="E185" s="2"/>
      <c r="F185" s="2"/>
      <c r="G185" s="2"/>
      <c r="H185" s="2"/>
      <c r="I185" s="2"/>
      <c r="J185" s="2"/>
      <c r="K185" s="2"/>
      <c r="L185" s="2"/>
      <c r="M185" s="2"/>
      <c r="N185" s="2"/>
      <c r="O185" s="2"/>
      <c r="P185" s="2"/>
    </row>
    <row r="186" customFormat="false" ht="15" hidden="false" customHeight="false" outlineLevel="0" collapsed="false">
      <c r="A186" s="4" t="s">
        <v>557</v>
      </c>
      <c r="B186" s="2"/>
      <c r="C186" s="2"/>
      <c r="D186" s="2"/>
      <c r="E186" s="2"/>
      <c r="F186" s="2"/>
      <c r="G186" s="2"/>
      <c r="H186" s="2"/>
      <c r="I186" s="4" t="n">
        <f aca="false">SUM(I2:I184)</f>
        <v>543.4168</v>
      </c>
      <c r="J186" s="4" t="n">
        <f aca="false">SUM(J2:J184)</f>
        <v>57.8831</v>
      </c>
      <c r="K186" s="4" t="n">
        <f aca="false">SUM(K2:K184)</f>
        <v>601.2999</v>
      </c>
      <c r="L186" s="4" t="n">
        <f aca="false">SUM(L2:L184)</f>
        <v>36081</v>
      </c>
      <c r="M186" s="60" t="n">
        <f aca="false">SUM(M2:M184)</f>
        <v>73199.548</v>
      </c>
      <c r="N186" s="2"/>
      <c r="O186" s="2"/>
      <c r="P186" s="2"/>
    </row>
  </sheetData>
  <autoFilter ref="A1:O18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4" min="2" style="0" width="14"/>
    <col collapsed="false" customWidth="true" hidden="false" outlineLevel="0" max="5" min="5" style="0" width="26"/>
    <col collapsed="false" customWidth="true" hidden="false" outlineLevel="0" max="6" min="6" style="0" width="80"/>
  </cols>
  <sheetData>
    <row r="1" customFormat="false" ht="15" hidden="false" customHeight="false" outlineLevel="0" collapsed="false">
      <c r="A1" s="61" t="s">
        <v>558</v>
      </c>
      <c r="B1" s="2"/>
      <c r="C1" s="2"/>
      <c r="D1" s="2"/>
      <c r="E1" s="2"/>
      <c r="F1" s="2"/>
    </row>
    <row r="2" customFormat="false" ht="15" hidden="false" customHeight="false" outlineLevel="0" collapsed="false">
      <c r="A2" s="2"/>
      <c r="B2" s="2"/>
      <c r="C2" s="2"/>
      <c r="D2" s="2"/>
      <c r="E2" s="2"/>
      <c r="F2" s="2"/>
    </row>
    <row r="3" customFormat="false" ht="31.5" hidden="false" customHeight="true" outlineLevel="0" collapsed="false">
      <c r="A3" s="5" t="s">
        <v>3</v>
      </c>
      <c r="B3" s="5" t="s">
        <v>559</v>
      </c>
      <c r="C3" s="5" t="s">
        <v>560</v>
      </c>
      <c r="D3" s="5" t="s">
        <v>561</v>
      </c>
      <c r="E3" s="5" t="s">
        <v>562</v>
      </c>
      <c r="F3" s="5" t="s">
        <v>563</v>
      </c>
    </row>
    <row r="4" customFormat="false" ht="15" hidden="false" customHeight="false" outlineLevel="0" collapsed="false">
      <c r="A4" s="2" t="s">
        <v>11</v>
      </c>
      <c r="B4" s="62" t="n">
        <f aca="false">SUMIFS('Recurring Budgets'!$N$2:$N$125,'Recurring Budgets'!$B$2:$B$125,A4)</f>
        <v>0.916666666666667</v>
      </c>
      <c r="C4" s="62" t="n">
        <f aca="false">SUMIFS('Recurring Budgets'!$O$2:$O$125,'Recurring Budgets'!$B$2:$B$125,A4)</f>
        <v>0.7</v>
      </c>
      <c r="D4" s="63" t="n">
        <f aca="false">B4+C4</f>
        <v>1.61666666666667</v>
      </c>
      <c r="E4" s="54" t="s">
        <v>243</v>
      </c>
      <c r="F4" s="2"/>
    </row>
    <row r="5" customFormat="false" ht="15" hidden="false" customHeight="false" outlineLevel="0" collapsed="false">
      <c r="A5" s="2" t="s">
        <v>16</v>
      </c>
      <c r="B5" s="62" t="n">
        <f aca="false">SUMIFS('Recurring Budgets'!$N$2:$N$125,'Recurring Budgets'!$B$2:$B$125,A5)</f>
        <v>0.75</v>
      </c>
      <c r="C5" s="62" t="n">
        <f aca="false">SUMIFS('Recurring Budgets'!$O$2:$O$125,'Recurring Budgets'!$B$2:$B$125,A5)</f>
        <v>0.416666666666667</v>
      </c>
      <c r="D5" s="63" t="n">
        <f aca="false">B5+C5</f>
        <v>1.16666666666667</v>
      </c>
      <c r="E5" s="54" t="s">
        <v>243</v>
      </c>
      <c r="F5" s="2"/>
    </row>
    <row r="6" customFormat="false" ht="15" hidden="false" customHeight="false" outlineLevel="0" collapsed="false">
      <c r="A6" s="2" t="s">
        <v>19</v>
      </c>
      <c r="B6" s="62" t="n">
        <f aca="false">SUMIFS('Recurring Budgets'!$N$2:$N$125,'Recurring Budgets'!$B$2:$B$125,A6)</f>
        <v>0.0833333333333333</v>
      </c>
      <c r="C6" s="62" t="n">
        <f aca="false">SUMIFS('Recurring Budgets'!$O$2:$O$125,'Recurring Budgets'!$B$2:$B$125,A6)</f>
        <v>0</v>
      </c>
      <c r="D6" s="63" t="n">
        <f aca="false">B6+C6</f>
        <v>0.0833333333333333</v>
      </c>
      <c r="E6" s="52" t="s">
        <v>238</v>
      </c>
      <c r="F6" s="2"/>
    </row>
    <row r="7" customFormat="false" ht="15" hidden="false" customHeight="false" outlineLevel="0" collapsed="false">
      <c r="A7" s="2" t="s">
        <v>22</v>
      </c>
      <c r="B7" s="62" t="n">
        <f aca="false">SUMIFS('Recurring Budgets'!$N$2:$N$125,'Recurring Budgets'!$B$2:$B$125,A7)</f>
        <v>2.66666666666667</v>
      </c>
      <c r="C7" s="62" t="n">
        <f aca="false">SUMIFS('Recurring Budgets'!$O$2:$O$125,'Recurring Budgets'!$B$2:$B$125,A7)</f>
        <v>0.7</v>
      </c>
      <c r="D7" s="63" t="n">
        <f aca="false">B7+C7</f>
        <v>3.36666666666667</v>
      </c>
      <c r="E7" s="54" t="s">
        <v>243</v>
      </c>
      <c r="F7" s="2"/>
    </row>
    <row r="8" customFormat="false" ht="15" hidden="false" customHeight="false" outlineLevel="0" collapsed="false">
      <c r="A8" s="2" t="s">
        <v>23</v>
      </c>
      <c r="B8" s="62" t="n">
        <f aca="false">SUMIFS('Recurring Budgets'!$N$2:$N$125,'Recurring Budgets'!$B$2:$B$125,A8)</f>
        <v>1.24996666666667</v>
      </c>
      <c r="C8" s="62" t="n">
        <f aca="false">SUMIFS('Recurring Budgets'!$O$2:$O$125,'Recurring Budgets'!$B$2:$B$125,A8)</f>
        <v>0.7</v>
      </c>
      <c r="D8" s="63" t="n">
        <f aca="false">B8+C8</f>
        <v>1.94996666666667</v>
      </c>
      <c r="E8" s="54" t="s">
        <v>243</v>
      </c>
      <c r="F8" s="2"/>
    </row>
    <row r="9" customFormat="false" ht="15" hidden="false" customHeight="false" outlineLevel="0" collapsed="false">
      <c r="A9" s="2" t="s">
        <v>24</v>
      </c>
      <c r="B9" s="62" t="n">
        <f aca="false">SUMIFS('Recurring Budgets'!$N$2:$N$125,'Recurring Budgets'!$B$2:$B$125,A9)</f>
        <v>1.4167</v>
      </c>
      <c r="C9" s="62" t="n">
        <f aca="false">SUMIFS('Recurring Budgets'!$O$2:$O$125,'Recurring Budgets'!$B$2:$B$125,A9)</f>
        <v>0.7</v>
      </c>
      <c r="D9" s="63" t="n">
        <f aca="false">B9+C9</f>
        <v>2.1167</v>
      </c>
      <c r="E9" s="54" t="s">
        <v>243</v>
      </c>
      <c r="F9" s="2"/>
    </row>
    <row r="10" customFormat="false" ht="15" hidden="false" customHeight="false" outlineLevel="0" collapsed="false">
      <c r="A10" s="2" t="s">
        <v>25</v>
      </c>
      <c r="B10" s="62" t="n">
        <f aca="false">SUMIFS('Recurring Budgets'!$N$2:$N$125,'Recurring Budgets'!$B$2:$B$125,A10)</f>
        <v>0.875</v>
      </c>
      <c r="C10" s="62" t="n">
        <f aca="false">SUMIFS('Recurring Budgets'!$O$2:$O$125,'Recurring Budgets'!$B$2:$B$125,A10)</f>
        <v>0.3833</v>
      </c>
      <c r="D10" s="63" t="n">
        <f aca="false">B10+C10</f>
        <v>1.2583</v>
      </c>
      <c r="E10" s="55" t="s">
        <v>273</v>
      </c>
      <c r="F10" s="2"/>
    </row>
    <row r="11" customFormat="false" ht="15" hidden="false" customHeight="false" outlineLevel="0" collapsed="false">
      <c r="A11" s="2" t="s">
        <v>26</v>
      </c>
      <c r="B11" s="62" t="n">
        <f aca="false">SUMIFS('Recurring Budgets'!$N$2:$N$125,'Recurring Budgets'!$B$2:$B$125,A11)</f>
        <v>1.375</v>
      </c>
      <c r="C11" s="62" t="n">
        <f aca="false">SUMIFS('Recurring Budgets'!$O$2:$O$125,'Recurring Budgets'!$B$2:$B$125,A11)</f>
        <v>0.4833</v>
      </c>
      <c r="D11" s="63" t="n">
        <f aca="false">B11+C11</f>
        <v>1.8583</v>
      </c>
      <c r="E11" s="22" t="s">
        <v>276</v>
      </c>
      <c r="F11" s="2" t="s">
        <v>564</v>
      </c>
    </row>
    <row r="12" customFormat="false" ht="15" hidden="false" customHeight="false" outlineLevel="0" collapsed="false">
      <c r="A12" s="2" t="s">
        <v>27</v>
      </c>
      <c r="B12" s="62" t="n">
        <f aca="false">SUMIFS('Recurring Budgets'!$N$2:$N$125,'Recurring Budgets'!$B$2:$B$125,A12)</f>
        <v>24.833225</v>
      </c>
      <c r="C12" s="62" t="n">
        <f aca="false">SUMIFS('Recurring Budgets'!$O$2:$O$125,'Recurring Budgets'!$B$2:$B$125,A12)</f>
        <v>1</v>
      </c>
      <c r="D12" s="63" t="n">
        <f aca="false">B12+C12</f>
        <v>25.833225</v>
      </c>
      <c r="E12" s="54" t="s">
        <v>243</v>
      </c>
      <c r="F12" s="2"/>
    </row>
    <row r="13" customFormat="false" ht="15" hidden="false" customHeight="false" outlineLevel="0" collapsed="false">
      <c r="A13" s="2" t="s">
        <v>31</v>
      </c>
      <c r="B13" s="62" t="n">
        <f aca="false">SUMIFS('Recurring Budgets'!$N$2:$N$125,'Recurring Budgets'!$B$2:$B$125,A13)</f>
        <v>1.41666666666667</v>
      </c>
      <c r="C13" s="62" t="n">
        <f aca="false">SUMIFS('Recurring Budgets'!$O$2:$O$125,'Recurring Budgets'!$B$2:$B$125,A13)</f>
        <v>0.5</v>
      </c>
      <c r="D13" s="63" t="n">
        <f aca="false">B13+C13</f>
        <v>1.91666666666667</v>
      </c>
      <c r="E13" s="54" t="s">
        <v>243</v>
      </c>
      <c r="F13" s="2"/>
    </row>
    <row r="14" customFormat="false" ht="15" hidden="false" customHeight="false" outlineLevel="0" collapsed="false">
      <c r="A14" s="2" t="s">
        <v>32</v>
      </c>
      <c r="B14" s="62" t="n">
        <f aca="false">SUMIFS('Recurring Budgets'!$N$2:$N$125,'Recurring Budgets'!$B$2:$B$125,A14)</f>
        <v>2.87496666666667</v>
      </c>
      <c r="C14" s="62" t="n">
        <f aca="false">SUMIFS('Recurring Budgets'!$O$2:$O$125,'Recurring Budgets'!$B$2:$B$125,A14)</f>
        <v>1.1</v>
      </c>
      <c r="D14" s="63" t="n">
        <f aca="false">B14+C14</f>
        <v>3.97496666666667</v>
      </c>
      <c r="E14" s="54" t="s">
        <v>243</v>
      </c>
      <c r="F14" s="2"/>
    </row>
    <row r="15" customFormat="false" ht="15" hidden="false" customHeight="false" outlineLevel="0" collapsed="false">
      <c r="A15" s="2" t="s">
        <v>33</v>
      </c>
      <c r="B15" s="62" t="n">
        <f aca="false">SUMIFS('Recurring Budgets'!$N$2:$N$125,'Recurring Budgets'!$B$2:$B$125,A15)</f>
        <v>7.1667</v>
      </c>
      <c r="C15" s="62" t="n">
        <f aca="false">SUMIFS('Recurring Budgets'!$O$2:$O$125,'Recurring Budgets'!$B$2:$B$125,A15)</f>
        <v>0.8</v>
      </c>
      <c r="D15" s="63" t="n">
        <f aca="false">B15+C15</f>
        <v>7.9667</v>
      </c>
      <c r="E15" s="54" t="s">
        <v>243</v>
      </c>
      <c r="F15" s="2"/>
    </row>
    <row r="16" customFormat="false" ht="15" hidden="false" customHeight="false" outlineLevel="0" collapsed="false">
      <c r="A16" s="2" t="s">
        <v>34</v>
      </c>
      <c r="B16" s="62" t="n">
        <f aca="false">SUMIFS('Recurring Budgets'!$N$2:$N$125,'Recurring Budgets'!$B$2:$B$125,A16)</f>
        <v>0.6667</v>
      </c>
      <c r="C16" s="62" t="n">
        <f aca="false">SUMIFS('Recurring Budgets'!$O$2:$O$125,'Recurring Budgets'!$B$2:$B$125,A16)</f>
        <v>0.5</v>
      </c>
      <c r="D16" s="63" t="n">
        <f aca="false">B16+C16</f>
        <v>1.1667</v>
      </c>
      <c r="E16" s="54" t="s">
        <v>243</v>
      </c>
      <c r="F16" s="2"/>
    </row>
    <row r="17" customFormat="false" ht="15" hidden="false" customHeight="false" outlineLevel="0" collapsed="false">
      <c r="A17" s="2" t="s">
        <v>35</v>
      </c>
      <c r="B17" s="62" t="n">
        <f aca="false">SUMIFS('Recurring Budgets'!$N$2:$N$125,'Recurring Budgets'!$B$2:$B$125,A17)</f>
        <v>3.58336666666667</v>
      </c>
      <c r="C17" s="62" t="n">
        <f aca="false">SUMIFS('Recurring Budgets'!$O$2:$O$125,'Recurring Budgets'!$B$2:$B$125,A17)</f>
        <v>1.25</v>
      </c>
      <c r="D17" s="63" t="n">
        <f aca="false">B17+C17</f>
        <v>4.83336666666667</v>
      </c>
      <c r="E17" s="54" t="s">
        <v>243</v>
      </c>
      <c r="F17" s="2"/>
    </row>
    <row r="18" customFormat="false" ht="15" hidden="false" customHeight="false" outlineLevel="0" collapsed="false">
      <c r="A18" s="2" t="s">
        <v>36</v>
      </c>
      <c r="B18" s="62" t="n">
        <f aca="false">SUMIFS('Recurring Budgets'!$N$2:$N$125,'Recurring Budgets'!$B$2:$B$125,A18)</f>
        <v>3.41666666666667</v>
      </c>
      <c r="C18" s="62" t="n">
        <f aca="false">SUMIFS('Recurring Budgets'!$O$2:$O$125,'Recurring Budgets'!$B$2:$B$125,A18)</f>
        <v>0.5</v>
      </c>
      <c r="D18" s="63" t="n">
        <f aca="false">B18+C18</f>
        <v>3.91666666666667</v>
      </c>
      <c r="E18" s="54" t="s">
        <v>243</v>
      </c>
      <c r="F18" s="2"/>
    </row>
    <row r="19" customFormat="false" ht="15" hidden="false" customHeight="false" outlineLevel="0" collapsed="false">
      <c r="A19" s="2" t="s">
        <v>37</v>
      </c>
      <c r="B19" s="62" t="n">
        <f aca="false">SUMIFS('Recurring Budgets'!$N$2:$N$125,'Recurring Budgets'!$B$2:$B$125,A19)</f>
        <v>7.9167</v>
      </c>
      <c r="C19" s="62" t="n">
        <f aca="false">SUMIFS('Recurring Budgets'!$O$2:$O$125,'Recurring Budgets'!$B$2:$B$125,A19)</f>
        <v>1.2</v>
      </c>
      <c r="D19" s="63" t="n">
        <f aca="false">B19+C19</f>
        <v>9.1167</v>
      </c>
      <c r="E19" s="54" t="s">
        <v>243</v>
      </c>
      <c r="F19" s="2" t="s">
        <v>565</v>
      </c>
    </row>
    <row r="20" customFormat="false" ht="15" hidden="false" customHeight="false" outlineLevel="0" collapsed="false">
      <c r="A20" s="2" t="s">
        <v>38</v>
      </c>
      <c r="B20" s="62" t="n">
        <f aca="false">SUMIFS('Recurring Budgets'!$N$2:$N$125,'Recurring Budgets'!$B$2:$B$125,A20)</f>
        <v>5.08336666666667</v>
      </c>
      <c r="C20" s="62" t="n">
        <f aca="false">SUMIFS('Recurring Budgets'!$O$2:$O$125,'Recurring Budgets'!$B$2:$B$125,A20)</f>
        <v>0.7</v>
      </c>
      <c r="D20" s="63" t="n">
        <f aca="false">B20+C20</f>
        <v>5.78336666666667</v>
      </c>
      <c r="E20" s="54" t="s">
        <v>243</v>
      </c>
      <c r="F20" s="2"/>
    </row>
    <row r="21" customFormat="false" ht="15" hidden="false" customHeight="false" outlineLevel="0" collapsed="false">
      <c r="A21" s="2" t="s">
        <v>39</v>
      </c>
      <c r="B21" s="62" t="n">
        <f aca="false">SUMIFS('Recurring Budgets'!$N$2:$N$125,'Recurring Budgets'!$B$2:$B$125,A21)</f>
        <v>0.875</v>
      </c>
      <c r="C21" s="62" t="n">
        <f aca="false">SUMIFS('Recurring Budgets'!$O$2:$O$125,'Recurring Budgets'!$B$2:$B$125,A21)</f>
        <v>0.5</v>
      </c>
      <c r="D21" s="63" t="n">
        <f aca="false">B21+C21</f>
        <v>1.375</v>
      </c>
      <c r="E21" s="55" t="s">
        <v>273</v>
      </c>
      <c r="F21" s="2"/>
    </row>
    <row r="22" customFormat="false" ht="15" hidden="false" customHeight="false" outlineLevel="0" collapsed="false">
      <c r="A22" s="2" t="s">
        <v>40</v>
      </c>
      <c r="B22" s="62" t="n">
        <f aca="false">SUMIFS('Recurring Budgets'!$N$2:$N$125,'Recurring Budgets'!$B$2:$B$125,A22)</f>
        <v>6</v>
      </c>
      <c r="C22" s="62" t="n">
        <f aca="false">SUMIFS('Recurring Budgets'!$O$2:$O$125,'Recurring Budgets'!$B$2:$B$125,A22)</f>
        <v>0.4833</v>
      </c>
      <c r="D22" s="63" t="n">
        <f aca="false">B22+C22</f>
        <v>6.4833</v>
      </c>
      <c r="E22" s="56" t="s">
        <v>325</v>
      </c>
      <c r="F22" s="2"/>
    </row>
    <row r="23" customFormat="false" ht="15" hidden="false" customHeight="false" outlineLevel="0" collapsed="false">
      <c r="A23" s="2" t="s">
        <v>328</v>
      </c>
      <c r="B23" s="62" t="n">
        <f aca="false">SUMIFS('Recurring Budgets'!$N$2:$N$125,'Recurring Budgets'!$B$2:$B$125,A23)</f>
        <v>0</v>
      </c>
      <c r="C23" s="62" t="n">
        <f aca="false">SUMIFS('Recurring Budgets'!$O$2:$O$125,'Recurring Budgets'!$B$2:$B$125,A23)</f>
        <v>0</v>
      </c>
      <c r="D23" s="63" t="n">
        <f aca="false">B23+C23</f>
        <v>0</v>
      </c>
      <c r="E23" s="58" t="s">
        <v>329</v>
      </c>
      <c r="F23" s="2" t="s">
        <v>330</v>
      </c>
    </row>
    <row r="24" customFormat="false" ht="15" hidden="false" customHeight="false" outlineLevel="0" collapsed="false">
      <c r="A24" s="2" t="s">
        <v>41</v>
      </c>
      <c r="B24" s="62" t="n">
        <f aca="false">SUMIFS('Recurring Budgets'!$N$2:$N$125,'Recurring Budgets'!$B$2:$B$125,A24)</f>
        <v>5.75</v>
      </c>
      <c r="C24" s="62" t="n">
        <f aca="false">SUMIFS('Recurring Budgets'!$O$2:$O$125,'Recurring Budgets'!$B$2:$B$125,A24)</f>
        <v>1.75</v>
      </c>
      <c r="D24" s="63" t="n">
        <f aca="false">B24+C24</f>
        <v>7.5</v>
      </c>
      <c r="E24" s="55" t="s">
        <v>273</v>
      </c>
      <c r="F24" s="2" t="s">
        <v>566</v>
      </c>
    </row>
    <row r="25" customFormat="false" ht="15" hidden="false" customHeight="false" outlineLevel="0" collapsed="false">
      <c r="A25" s="2" t="s">
        <v>43</v>
      </c>
      <c r="B25" s="62" t="n">
        <f aca="false">SUMIFS('Recurring Budgets'!$N$2:$N$125,'Recurring Budgets'!$B$2:$B$125,A25)</f>
        <v>34.0276666666667</v>
      </c>
      <c r="C25" s="62" t="n">
        <f aca="false">SUMIFS('Recurring Budgets'!$O$2:$O$125,'Recurring Budgets'!$B$2:$B$125,A25)</f>
        <v>1.5</v>
      </c>
      <c r="D25" s="63" t="n">
        <f aca="false">B25+C25</f>
        <v>35.5276666666667</v>
      </c>
      <c r="E25" s="54" t="s">
        <v>243</v>
      </c>
      <c r="F25" s="2" t="s">
        <v>567</v>
      </c>
    </row>
    <row r="26" customFormat="false" ht="15" hidden="false" customHeight="false" outlineLevel="0" collapsed="false">
      <c r="A26" s="2" t="s">
        <v>45</v>
      </c>
      <c r="B26" s="62" t="n">
        <f aca="false">SUMIFS('Recurring Budgets'!$N$2:$N$125,'Recurring Budgets'!$B$2:$B$125,A26)</f>
        <v>0.666666666666667</v>
      </c>
      <c r="C26" s="62" t="n">
        <f aca="false">SUMIFS('Recurring Budgets'!$O$2:$O$125,'Recurring Budgets'!$B$2:$B$125,A26)</f>
        <v>0</v>
      </c>
      <c r="D26" s="63" t="n">
        <f aca="false">B26+C26</f>
        <v>0.666666666666667</v>
      </c>
      <c r="E26" s="52" t="s">
        <v>238</v>
      </c>
      <c r="F26" s="2"/>
    </row>
    <row r="27" customFormat="false" ht="15" hidden="false" customHeight="false" outlineLevel="0" collapsed="false">
      <c r="A27" s="2" t="s">
        <v>46</v>
      </c>
      <c r="B27" s="62" t="n">
        <f aca="false">SUMIFS('Recurring Budgets'!$N$2:$N$125,'Recurring Budgets'!$B$2:$B$125,A27)</f>
        <v>6.49998333333333</v>
      </c>
      <c r="C27" s="62" t="n">
        <f aca="false">SUMIFS('Recurring Budgets'!$O$2:$O$125,'Recurring Budgets'!$B$2:$B$125,A27)</f>
        <v>0.5</v>
      </c>
      <c r="D27" s="63" t="n">
        <f aca="false">B27+C27</f>
        <v>6.99998333333333</v>
      </c>
      <c r="E27" s="54" t="s">
        <v>243</v>
      </c>
      <c r="F27" s="2"/>
    </row>
    <row r="28" customFormat="false" ht="15" hidden="false" customHeight="false" outlineLevel="0" collapsed="false">
      <c r="A28" s="2" t="s">
        <v>213</v>
      </c>
      <c r="B28" s="62" t="n">
        <f aca="false">SUMIFS('Recurring Budgets'!$N$2:$N$125,'Recurring Budgets'!$B$2:$B$125,A28)</f>
        <v>0</v>
      </c>
      <c r="C28" s="62" t="n">
        <f aca="false">SUMIFS('Recurring Budgets'!$O$2:$O$125,'Recurring Budgets'!$B$2:$B$125,A28)</f>
        <v>0</v>
      </c>
      <c r="D28" s="63" t="n">
        <f aca="false">B28+C28</f>
        <v>0</v>
      </c>
      <c r="E28" s="58" t="s">
        <v>329</v>
      </c>
      <c r="F28" s="2" t="s">
        <v>351</v>
      </c>
    </row>
    <row r="29" customFormat="false" ht="15" hidden="false" customHeight="false" outlineLevel="0" collapsed="false">
      <c r="A29" s="2" t="s">
        <v>47</v>
      </c>
      <c r="B29" s="62" t="n">
        <f aca="false">SUMIFS('Recurring Budgets'!$N$2:$N$125,'Recurring Budgets'!$B$2:$B$125,A29)</f>
        <v>0.625</v>
      </c>
      <c r="C29" s="62" t="n">
        <f aca="false">SUMIFS('Recurring Budgets'!$O$2:$O$125,'Recurring Budgets'!$B$2:$B$125,A29)</f>
        <v>0.3833</v>
      </c>
      <c r="D29" s="63" t="n">
        <f aca="false">B29+C29</f>
        <v>1.0083</v>
      </c>
      <c r="E29" s="55" t="s">
        <v>273</v>
      </c>
      <c r="F29" s="2"/>
    </row>
    <row r="30" customFormat="false" ht="15" hidden="false" customHeight="false" outlineLevel="0" collapsed="false">
      <c r="A30" s="2" t="s">
        <v>48</v>
      </c>
      <c r="B30" s="62" t="n">
        <f aca="false">SUMIFS('Recurring Budgets'!$N$2:$N$125,'Recurring Budgets'!$B$2:$B$125,A30)</f>
        <v>2.7084</v>
      </c>
      <c r="C30" s="62" t="n">
        <f aca="false">SUMIFS('Recurring Budgets'!$O$2:$O$125,'Recurring Budgets'!$B$2:$B$125,A30)</f>
        <v>0.3833</v>
      </c>
      <c r="D30" s="63" t="n">
        <f aca="false">B30+C30</f>
        <v>3.0917</v>
      </c>
      <c r="E30" s="22" t="s">
        <v>276</v>
      </c>
      <c r="F30" s="2" t="s">
        <v>568</v>
      </c>
    </row>
    <row r="31" customFormat="false" ht="15" hidden="false" customHeight="false" outlineLevel="0" collapsed="false">
      <c r="A31" s="2" t="s">
        <v>50</v>
      </c>
      <c r="B31" s="62" t="n">
        <f aca="false">SUMIFS('Recurring Budgets'!$N$2:$N$125,'Recurring Budgets'!$B$2:$B$125,A31)</f>
        <v>45.7499666666667</v>
      </c>
      <c r="C31" s="62" t="n">
        <f aca="false">SUMIFS('Recurring Budgets'!$O$2:$O$125,'Recurring Budgets'!$B$2:$B$125,A31)</f>
        <v>1.5</v>
      </c>
      <c r="D31" s="63" t="n">
        <f aca="false">B31+C31</f>
        <v>47.2499666666667</v>
      </c>
      <c r="E31" s="54" t="s">
        <v>243</v>
      </c>
      <c r="F31" s="2"/>
    </row>
    <row r="32" customFormat="false" ht="15" hidden="false" customHeight="false" outlineLevel="0" collapsed="false">
      <c r="A32" s="2" t="s">
        <v>52</v>
      </c>
      <c r="B32" s="62" t="n">
        <f aca="false">SUMIFS('Recurring Budgets'!$N$2:$N$125,'Recurring Budgets'!$B$2:$B$125,A32)</f>
        <v>3.5</v>
      </c>
      <c r="C32" s="62" t="n">
        <f aca="false">SUMIFS('Recurring Budgets'!$O$2:$O$125,'Recurring Budgets'!$B$2:$B$125,A32)</f>
        <v>0.7</v>
      </c>
      <c r="D32" s="63" t="n">
        <f aca="false">B32+C32</f>
        <v>4.2</v>
      </c>
      <c r="E32" s="54" t="s">
        <v>243</v>
      </c>
      <c r="F32" s="2"/>
    </row>
    <row r="33" customFormat="false" ht="15" hidden="false" customHeight="false" outlineLevel="0" collapsed="false">
      <c r="A33" s="2" t="s">
        <v>53</v>
      </c>
      <c r="B33" s="62" t="n">
        <f aca="false">SUMIFS('Recurring Budgets'!$N$2:$N$125,'Recurring Budgets'!$B$2:$B$125,A33)</f>
        <v>2.41666666666667</v>
      </c>
      <c r="C33" s="62" t="n">
        <f aca="false">SUMIFS('Recurring Budgets'!$O$2:$O$125,'Recurring Budgets'!$B$2:$B$125,A33)</f>
        <v>0.7</v>
      </c>
      <c r="D33" s="63" t="n">
        <f aca="false">B33+C33</f>
        <v>3.11666666666667</v>
      </c>
      <c r="E33" s="54" t="s">
        <v>243</v>
      </c>
      <c r="F33" s="2"/>
    </row>
    <row r="34" customFormat="false" ht="15" hidden="false" customHeight="false" outlineLevel="0" collapsed="false">
      <c r="A34" s="2" t="s">
        <v>54</v>
      </c>
      <c r="B34" s="62" t="n">
        <f aca="false">SUMIFS('Recurring Budgets'!$N$2:$N$125,'Recurring Budgets'!$B$2:$B$125,A34)</f>
        <v>8.0417</v>
      </c>
      <c r="C34" s="62" t="n">
        <f aca="false">SUMIFS('Recurring Budgets'!$O$2:$O$125,'Recurring Budgets'!$B$2:$B$125,A34)</f>
        <v>1.73615</v>
      </c>
      <c r="D34" s="63" t="n">
        <f aca="false">B34+C34</f>
        <v>9.77785</v>
      </c>
      <c r="E34" s="56" t="s">
        <v>389</v>
      </c>
      <c r="F34" s="2" t="s">
        <v>569</v>
      </c>
    </row>
    <row r="35" customFormat="false" ht="15" hidden="false" customHeight="false" outlineLevel="0" collapsed="false">
      <c r="A35" s="2" t="s">
        <v>58</v>
      </c>
      <c r="B35" s="62" t="n">
        <f aca="false">SUMIFS('Recurring Budgets'!$N$2:$N$125,'Recurring Budgets'!$B$2:$B$125,A35)</f>
        <v>0.8889</v>
      </c>
      <c r="C35" s="62" t="n">
        <f aca="false">SUMIFS('Recurring Budgets'!$O$2:$O$125,'Recurring Budgets'!$B$2:$B$125,A35)</f>
        <v>0.233333333333333</v>
      </c>
      <c r="D35" s="63" t="n">
        <f aca="false">B35+C35</f>
        <v>1.12223333333333</v>
      </c>
      <c r="E35" s="54" t="s">
        <v>243</v>
      </c>
      <c r="F35" s="2"/>
    </row>
    <row r="36" customFormat="false" ht="15" hidden="false" customHeight="false" outlineLevel="0" collapsed="false">
      <c r="A36" s="2" t="s">
        <v>61</v>
      </c>
      <c r="B36" s="62" t="n">
        <f aca="false">SUMIFS('Recurring Budgets'!$N$2:$N$125,'Recurring Budgets'!$B$2:$B$125,A36)</f>
        <v>6.965275</v>
      </c>
      <c r="C36" s="62" t="n">
        <f aca="false">SUMIFS('Recurring Budgets'!$O$2:$O$125,'Recurring Budgets'!$B$2:$B$125,A36)</f>
        <v>0.7</v>
      </c>
      <c r="D36" s="63" t="n">
        <f aca="false">B36+C36</f>
        <v>7.665275</v>
      </c>
      <c r="E36" s="54" t="s">
        <v>243</v>
      </c>
      <c r="F36" s="2"/>
    </row>
    <row r="37" customFormat="false" ht="15" hidden="false" customHeight="false" outlineLevel="0" collapsed="false">
      <c r="A37" s="2" t="s">
        <v>63</v>
      </c>
      <c r="B37" s="62" t="n">
        <f aca="false">SUMIFS('Recurring Budgets'!$N$2:$N$125,'Recurring Budgets'!$B$2:$B$125,A37)</f>
        <v>0.347225</v>
      </c>
      <c r="C37" s="62" t="n">
        <f aca="false">SUMIFS('Recurring Budgets'!$O$2:$O$125,'Recurring Budgets'!$B$2:$B$125,A37)</f>
        <v>0.333333333333333</v>
      </c>
      <c r="D37" s="63" t="n">
        <f aca="false">B37+C37</f>
        <v>0.680558333333333</v>
      </c>
      <c r="E37" s="54" t="s">
        <v>243</v>
      </c>
      <c r="F37" s="2"/>
    </row>
    <row r="38" customFormat="false" ht="15" hidden="false" customHeight="false" outlineLevel="0" collapsed="false">
      <c r="A38" s="2" t="s">
        <v>64</v>
      </c>
      <c r="B38" s="62" t="n">
        <f aca="false">SUMIFS('Recurring Budgets'!$N$2:$N$125,'Recurring Budgets'!$B$2:$B$125,A38)</f>
        <v>8.311775</v>
      </c>
      <c r="C38" s="62" t="n">
        <f aca="false">SUMIFS('Recurring Budgets'!$O$2:$O$125,'Recurring Budgets'!$B$2:$B$125,A38)</f>
        <v>0</v>
      </c>
      <c r="D38" s="63" t="n">
        <f aca="false">B38+C38</f>
        <v>8.311775</v>
      </c>
      <c r="E38" s="55" t="s">
        <v>273</v>
      </c>
      <c r="F38" s="2"/>
    </row>
    <row r="39" customFormat="false" ht="15" hidden="false" customHeight="false" outlineLevel="0" collapsed="false">
      <c r="A39" s="2" t="s">
        <v>68</v>
      </c>
      <c r="B39" s="62" t="n">
        <f aca="false">SUMIFS('Recurring Budgets'!$N$2:$N$125,'Recurring Budgets'!$B$2:$B$125,A39)</f>
        <v>2.49996666666667</v>
      </c>
      <c r="C39" s="62" t="n">
        <f aca="false">SUMIFS('Recurring Budgets'!$O$2:$O$125,'Recurring Budgets'!$B$2:$B$125,A39)</f>
        <v>1</v>
      </c>
      <c r="D39" s="63" t="n">
        <f aca="false">B39+C39</f>
        <v>3.49996666666667</v>
      </c>
      <c r="E39" s="54" t="s">
        <v>243</v>
      </c>
      <c r="F39" s="2"/>
    </row>
    <row r="40" customFormat="false" ht="15" hidden="false" customHeight="false" outlineLevel="0" collapsed="false">
      <c r="A40" s="2" t="s">
        <v>69</v>
      </c>
      <c r="B40" s="62" t="n">
        <f aca="false">SUMIFS('Recurring Budgets'!$N$2:$N$125,'Recurring Budgets'!$B$2:$B$125,A40)</f>
        <v>1.402775</v>
      </c>
      <c r="C40" s="62" t="n">
        <f aca="false">SUMIFS('Recurring Budgets'!$O$2:$O$125,'Recurring Budgets'!$B$2:$B$125,A40)</f>
        <v>0.5</v>
      </c>
      <c r="D40" s="63" t="n">
        <f aca="false">B40+C40</f>
        <v>1.902775</v>
      </c>
      <c r="E40" s="54" t="s">
        <v>243</v>
      </c>
      <c r="F40" s="2" t="s">
        <v>570</v>
      </c>
    </row>
    <row r="41" customFormat="false" ht="15" hidden="false" customHeight="false" outlineLevel="0" collapsed="false">
      <c r="A41" s="2" t="s">
        <v>70</v>
      </c>
      <c r="B41" s="62" t="n">
        <f aca="false">SUMIFS('Recurring Budgets'!$N$2:$N$125,'Recurring Budgets'!$B$2:$B$125,A41)</f>
        <v>7.3125</v>
      </c>
      <c r="C41" s="62" t="n">
        <f aca="false">SUMIFS('Recurring Budgets'!$O$2:$O$125,'Recurring Budgets'!$B$2:$B$125,A41)</f>
        <v>1</v>
      </c>
      <c r="D41" s="63" t="n">
        <f aca="false">B41+C41</f>
        <v>8.3125</v>
      </c>
      <c r="E41" s="56" t="s">
        <v>325</v>
      </c>
      <c r="F41" s="2"/>
    </row>
    <row r="42" customFormat="false" ht="15" hidden="false" customHeight="false" outlineLevel="0" collapsed="false">
      <c r="A42" s="2" t="s">
        <v>71</v>
      </c>
      <c r="B42" s="62" t="n">
        <f aca="false">SUMIFS('Recurring Budgets'!$N$2:$N$125,'Recurring Budgets'!$B$2:$B$125,A42)</f>
        <v>6.16666666666667</v>
      </c>
      <c r="C42" s="62" t="n">
        <f aca="false">SUMIFS('Recurring Budgets'!$O$2:$O$125,'Recurring Budgets'!$B$2:$B$125,A42)</f>
        <v>1</v>
      </c>
      <c r="D42" s="63" t="n">
        <f aca="false">B42+C42</f>
        <v>7.16666666666667</v>
      </c>
      <c r="E42" s="54" t="s">
        <v>243</v>
      </c>
      <c r="F42" s="2"/>
    </row>
    <row r="43" customFormat="false" ht="15" hidden="false" customHeight="false" outlineLevel="0" collapsed="false">
      <c r="A43" s="2" t="s">
        <v>72</v>
      </c>
      <c r="B43" s="62" t="n">
        <f aca="false">SUMIFS('Recurring Budgets'!$N$2:$N$125,'Recurring Budgets'!$B$2:$B$125,A43)</f>
        <v>0.333333333333333</v>
      </c>
      <c r="C43" s="62" t="n">
        <f aca="false">SUMIFS('Recurring Budgets'!$O$2:$O$125,'Recurring Budgets'!$B$2:$B$125,A43)</f>
        <v>0.5</v>
      </c>
      <c r="D43" s="63" t="n">
        <f aca="false">B43+C43</f>
        <v>0.833333333333333</v>
      </c>
      <c r="E43" s="54" t="s">
        <v>243</v>
      </c>
      <c r="F43" s="2"/>
    </row>
    <row r="44" customFormat="false" ht="15" hidden="false" customHeight="false" outlineLevel="0" collapsed="false">
      <c r="A44" s="2" t="s">
        <v>73</v>
      </c>
      <c r="B44" s="62" t="n">
        <f aca="false">SUMIFS('Recurring Budgets'!$N$2:$N$125,'Recurring Budgets'!$B$2:$B$125,A44)</f>
        <v>2.04166666666667</v>
      </c>
      <c r="C44" s="62" t="n">
        <f aca="false">SUMIFS('Recurring Budgets'!$O$2:$O$125,'Recurring Budgets'!$B$2:$B$125,A44)</f>
        <v>0.5</v>
      </c>
      <c r="D44" s="63" t="n">
        <f aca="false">B44+C44</f>
        <v>2.54166666666667</v>
      </c>
      <c r="E44" s="56" t="s">
        <v>389</v>
      </c>
      <c r="F44" s="2" t="s">
        <v>571</v>
      </c>
    </row>
    <row r="45" customFormat="false" ht="15" hidden="false" customHeight="false" outlineLevel="0" collapsed="false">
      <c r="A45" s="2" t="s">
        <v>74</v>
      </c>
      <c r="B45" s="62" t="n">
        <f aca="false">SUMIFS('Recurring Budgets'!$N$2:$N$125,'Recurring Budgets'!$B$2:$B$125,A45)</f>
        <v>1.7083</v>
      </c>
      <c r="C45" s="62" t="n">
        <f aca="false">SUMIFS('Recurring Budgets'!$O$2:$O$125,'Recurring Budgets'!$B$2:$B$125,A45)</f>
        <v>0.4833</v>
      </c>
      <c r="D45" s="63" t="n">
        <f aca="false">B45+C45</f>
        <v>2.1916</v>
      </c>
      <c r="E45" s="56" t="s">
        <v>325</v>
      </c>
      <c r="F45" s="2" t="s">
        <v>572</v>
      </c>
    </row>
    <row r="46" customFormat="false" ht="15" hidden="false" customHeight="false" outlineLevel="0" collapsed="false">
      <c r="A46" s="2" t="s">
        <v>75</v>
      </c>
      <c r="B46" s="62" t="n">
        <f aca="false">SUMIFS('Recurring Budgets'!$N$2:$N$125,'Recurring Budgets'!$B$2:$B$125,A46)</f>
        <v>0.875</v>
      </c>
      <c r="C46" s="62" t="n">
        <f aca="false">SUMIFS('Recurring Budgets'!$O$2:$O$125,'Recurring Budgets'!$B$2:$B$125,A46)</f>
        <v>0.3833</v>
      </c>
      <c r="D46" s="63" t="n">
        <f aca="false">B46+C46</f>
        <v>1.2583</v>
      </c>
      <c r="E46" s="55" t="s">
        <v>273</v>
      </c>
      <c r="F46" s="2"/>
    </row>
    <row r="47" customFormat="false" ht="15" hidden="false" customHeight="false" outlineLevel="0" collapsed="false">
      <c r="A47" s="2" t="s">
        <v>76</v>
      </c>
      <c r="B47" s="62" t="n">
        <f aca="false">SUMIFS('Recurring Budgets'!$N$2:$N$125,'Recurring Budgets'!$B$2:$B$125,A47)</f>
        <v>24.875</v>
      </c>
      <c r="C47" s="62" t="n">
        <f aca="false">SUMIFS('Recurring Budgets'!$O$2:$O$125,'Recurring Budgets'!$B$2:$B$125,A47)</f>
        <v>2.125</v>
      </c>
      <c r="D47" s="63" t="n">
        <f aca="false">B47+C47</f>
        <v>27</v>
      </c>
      <c r="E47" s="56" t="s">
        <v>325</v>
      </c>
      <c r="F47" s="2"/>
    </row>
    <row r="48" customFormat="false" ht="15" hidden="false" customHeight="false" outlineLevel="0" collapsed="false">
      <c r="A48" s="2" t="s">
        <v>81</v>
      </c>
      <c r="B48" s="62" t="n">
        <f aca="false">SUMIFS('Recurring Budgets'!$N$2:$N$125,'Recurring Budgets'!$B$2:$B$125,A48)</f>
        <v>0.75</v>
      </c>
      <c r="C48" s="62" t="n">
        <f aca="false">SUMIFS('Recurring Budgets'!$O$2:$O$125,'Recurring Budgets'!$B$2:$B$125,A48)</f>
        <v>0.6</v>
      </c>
      <c r="D48" s="63" t="n">
        <f aca="false">B48+C48</f>
        <v>1.35</v>
      </c>
      <c r="E48" s="55" t="s">
        <v>273</v>
      </c>
      <c r="F48" s="2"/>
    </row>
    <row r="49" customFormat="false" ht="15" hidden="false" customHeight="false" outlineLevel="0" collapsed="false">
      <c r="A49" s="2" t="s">
        <v>82</v>
      </c>
      <c r="B49" s="62" t="n">
        <f aca="false">SUMIFS('Recurring Budgets'!$N$2:$N$125,'Recurring Budgets'!$B$2:$B$125,A49)</f>
        <v>24.7917</v>
      </c>
      <c r="C49" s="62" t="n">
        <f aca="false">SUMIFS('Recurring Budgets'!$O$2:$O$125,'Recurring Budgets'!$B$2:$B$125,A49)</f>
        <v>2.225</v>
      </c>
      <c r="D49" s="63" t="n">
        <f aca="false">B49+C49</f>
        <v>27.0167</v>
      </c>
      <c r="E49" s="22" t="s">
        <v>276</v>
      </c>
      <c r="F49" s="2" t="s">
        <v>573</v>
      </c>
    </row>
    <row r="50" customFormat="false" ht="15" hidden="false" customHeight="false" outlineLevel="0" collapsed="false">
      <c r="A50" s="2" t="s">
        <v>83</v>
      </c>
      <c r="B50" s="62" t="n">
        <f aca="false">SUMIFS('Recurring Budgets'!$N$2:$N$125,'Recurring Budgets'!$B$2:$B$125,A50)</f>
        <v>2.77776666666667</v>
      </c>
      <c r="C50" s="62" t="n">
        <f aca="false">SUMIFS('Recurring Budgets'!$O$2:$O$125,'Recurring Budgets'!$B$2:$B$125,A50)</f>
        <v>0.333333333333333</v>
      </c>
      <c r="D50" s="63" t="n">
        <f aca="false">B50+C50</f>
        <v>3.1111</v>
      </c>
      <c r="E50" s="56" t="s">
        <v>325</v>
      </c>
      <c r="F50" s="2"/>
    </row>
    <row r="51" customFormat="false" ht="15" hidden="false" customHeight="false" outlineLevel="0" collapsed="false">
      <c r="A51" s="4" t="s">
        <v>218</v>
      </c>
      <c r="B51" s="48" t="n">
        <f aca="false">SUM(B4:B50)</f>
        <v>275.200591666667</v>
      </c>
      <c r="C51" s="48" t="n">
        <f aca="false">SUM(C4:C50)</f>
        <v>33.6859166666667</v>
      </c>
      <c r="D51" s="48" t="n">
        <f aca="false">SUM(D4:D50)</f>
        <v>308.886508333333</v>
      </c>
      <c r="E51" s="2"/>
      <c r="F51" s="2"/>
    </row>
    <row r="52" customFormat="false" ht="15" hidden="false" customHeight="false" outlineLevel="0" collapsed="false">
      <c r="A52" s="2"/>
      <c r="B52" s="2"/>
      <c r="C52" s="2"/>
      <c r="D52" s="2"/>
      <c r="E52" s="2"/>
      <c r="F52" s="2"/>
    </row>
    <row r="53" customFormat="false" ht="15" hidden="false" customHeight="false" outlineLevel="0" collapsed="false">
      <c r="A53" s="4" t="s">
        <v>574</v>
      </c>
      <c r="B53" s="2"/>
      <c r="C53" s="47" t="n">
        <f aca="false">Assumptions!$B$32</f>
        <v>25</v>
      </c>
      <c r="D53" s="2"/>
      <c r="E53" s="2"/>
      <c r="F53" s="2"/>
    </row>
    <row r="54" customFormat="false" ht="15" hidden="false" customHeight="false" outlineLevel="0" collapsed="false">
      <c r="A54" s="4" t="s">
        <v>575</v>
      </c>
      <c r="B54" s="47" t="n">
        <f aca="false">Assumptions!$B$33</f>
        <v>10</v>
      </c>
      <c r="C54" s="2"/>
      <c r="D54" s="2"/>
      <c r="E54" s="2"/>
      <c r="F54" s="2"/>
    </row>
    <row r="55" customFormat="false" ht="15" hidden="false" customHeight="false" outlineLevel="0" collapsed="false">
      <c r="A55" s="4" t="s">
        <v>576</v>
      </c>
      <c r="B55" s="4" t="n">
        <f aca="false">B51+B54</f>
        <v>285.200591666667</v>
      </c>
      <c r="C55" s="4" t="n">
        <f aca="false">C51+C53</f>
        <v>58.6859166666667</v>
      </c>
      <c r="D55" s="4" t="n">
        <f aca="false">B55+C55</f>
        <v>343.886508333333</v>
      </c>
      <c r="E55" s="2"/>
      <c r="F55" s="2"/>
    </row>
    <row r="56" customFormat="false" ht="15" hidden="false" customHeight="false" outlineLevel="0" collapsed="false">
      <c r="A56" s="3" t="s">
        <v>577</v>
      </c>
      <c r="B56" s="2"/>
      <c r="C56" s="2"/>
      <c r="D56" s="2"/>
      <c r="E56" s="2"/>
      <c r="F5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12"/>
    <col collapsed="false" customWidth="true" hidden="false" outlineLevel="0" max="5" min="4" style="0" width="14"/>
    <col collapsed="false" customWidth="true" hidden="false" outlineLevel="0" max="6" min="6" style="0" width="12"/>
    <col collapsed="false" customWidth="true" hidden="false" outlineLevel="0" max="7" min="7" style="0" width="90"/>
  </cols>
  <sheetData>
    <row r="1" customFormat="false" ht="15" hidden="false" customHeight="false" outlineLevel="0" collapsed="false">
      <c r="A1" s="61" t="s">
        <v>578</v>
      </c>
      <c r="B1" s="2"/>
      <c r="C1" s="2"/>
      <c r="D1" s="2"/>
      <c r="E1" s="2"/>
      <c r="F1" s="2"/>
      <c r="G1" s="2"/>
    </row>
    <row r="2" customFormat="false" ht="15" hidden="false" customHeight="false" outlineLevel="0" collapsed="false">
      <c r="A2" s="3" t="s">
        <v>579</v>
      </c>
      <c r="B2" s="2"/>
      <c r="C2" s="2"/>
      <c r="D2" s="2"/>
      <c r="E2" s="2"/>
      <c r="F2" s="2"/>
      <c r="G2" s="2"/>
    </row>
    <row r="3" customFormat="false" ht="15" hidden="false" customHeight="false" outlineLevel="0" collapsed="false">
      <c r="A3" s="2"/>
      <c r="B3" s="2"/>
      <c r="C3" s="2"/>
      <c r="D3" s="2"/>
      <c r="E3" s="2"/>
      <c r="F3" s="2"/>
      <c r="G3" s="2"/>
    </row>
    <row r="4" customFormat="false" ht="31.5" hidden="false" customHeight="true" outlineLevel="0" collapsed="false">
      <c r="A4" s="5" t="s">
        <v>580</v>
      </c>
      <c r="B4" s="5" t="s">
        <v>581</v>
      </c>
      <c r="C4" s="5" t="s">
        <v>582</v>
      </c>
      <c r="D4" s="5" t="s">
        <v>583</v>
      </c>
      <c r="E4" s="5" t="s">
        <v>584</v>
      </c>
      <c r="F4" s="5" t="s">
        <v>585</v>
      </c>
      <c r="G4" s="5" t="s">
        <v>586</v>
      </c>
    </row>
    <row r="5" customFormat="false" ht="15" hidden="false" customHeight="false" outlineLevel="0" collapsed="false">
      <c r="A5" s="37" t="s">
        <v>587</v>
      </c>
      <c r="B5" s="38" t="n">
        <v>66</v>
      </c>
      <c r="C5" s="38" t="n">
        <v>1.4</v>
      </c>
      <c r="D5" s="38" t="n">
        <v>3.5</v>
      </c>
      <c r="E5" s="38" t="n">
        <v>9.6</v>
      </c>
      <c r="F5" s="38" t="n">
        <v>32.2</v>
      </c>
      <c r="G5" s="37" t="s">
        <v>588</v>
      </c>
    </row>
    <row r="6" customFormat="false" ht="15" hidden="false" customHeight="false" outlineLevel="0" collapsed="false">
      <c r="A6" s="37" t="s">
        <v>589</v>
      </c>
      <c r="B6" s="38" t="n">
        <v>48</v>
      </c>
      <c r="C6" s="38" t="n">
        <v>1.9</v>
      </c>
      <c r="D6" s="38" t="n">
        <v>4.8</v>
      </c>
      <c r="E6" s="38" t="n">
        <v>14.2</v>
      </c>
      <c r="F6" s="38" t="n">
        <v>57.8</v>
      </c>
      <c r="G6" s="37" t="s">
        <v>590</v>
      </c>
    </row>
    <row r="7" customFormat="false" ht="15" hidden="false" customHeight="false" outlineLevel="0" collapsed="false">
      <c r="A7" s="37" t="s">
        <v>591</v>
      </c>
      <c r="B7" s="38" t="n">
        <v>31</v>
      </c>
      <c r="C7" s="38" t="n">
        <v>2</v>
      </c>
      <c r="D7" s="38" t="n">
        <v>3.4</v>
      </c>
      <c r="E7" s="38" t="n">
        <v>9.5</v>
      </c>
      <c r="F7" s="38" t="n">
        <v>20</v>
      </c>
      <c r="G7" s="37" t="s">
        <v>592</v>
      </c>
    </row>
    <row r="8" customFormat="false" ht="15" hidden="false" customHeight="false" outlineLevel="0" collapsed="false">
      <c r="A8" s="37" t="s">
        <v>593</v>
      </c>
      <c r="B8" s="38" t="n">
        <v>28</v>
      </c>
      <c r="C8" s="38" t="n">
        <v>2.5</v>
      </c>
      <c r="D8" s="38" t="n">
        <v>4.4</v>
      </c>
      <c r="E8" s="38" t="n">
        <v>9.7</v>
      </c>
      <c r="F8" s="38" t="n">
        <v>22.1</v>
      </c>
      <c r="G8" s="37" t="s">
        <v>594</v>
      </c>
    </row>
    <row r="9" customFormat="false" ht="15" hidden="false" customHeight="false" outlineLevel="0" collapsed="false">
      <c r="A9" s="37" t="s">
        <v>595</v>
      </c>
      <c r="B9" s="38" t="n">
        <v>26</v>
      </c>
      <c r="C9" s="38" t="n">
        <v>2.7</v>
      </c>
      <c r="D9" s="38" t="n">
        <v>6.3</v>
      </c>
      <c r="E9" s="38" t="n">
        <v>13.6</v>
      </c>
      <c r="F9" s="38" t="n">
        <v>22.2</v>
      </c>
      <c r="G9" s="37" t="s">
        <v>596</v>
      </c>
    </row>
    <row r="10" customFormat="false" ht="15" hidden="false" customHeight="false" outlineLevel="0" collapsed="false">
      <c r="A10" s="37" t="s">
        <v>597</v>
      </c>
      <c r="B10" s="38" t="n">
        <v>12</v>
      </c>
      <c r="C10" s="38" t="n">
        <v>1.9</v>
      </c>
      <c r="D10" s="38" t="n">
        <v>3.6</v>
      </c>
      <c r="E10" s="38" t="n">
        <v>9.6</v>
      </c>
      <c r="F10" s="38" t="n">
        <v>14.4</v>
      </c>
      <c r="G10" s="37" t="s">
        <v>598</v>
      </c>
    </row>
    <row r="11" customFormat="false" ht="15" hidden="false" customHeight="false" outlineLevel="0" collapsed="false">
      <c r="A11" s="37" t="s">
        <v>599</v>
      </c>
      <c r="B11" s="38" t="n">
        <v>9</v>
      </c>
      <c r="C11" s="38" t="n">
        <v>0.2</v>
      </c>
      <c r="D11" s="38" t="n">
        <v>0.5</v>
      </c>
      <c r="E11" s="38" t="n">
        <v>1</v>
      </c>
      <c r="F11" s="38" t="n">
        <v>2.5</v>
      </c>
      <c r="G11" s="37" t="s">
        <v>600</v>
      </c>
    </row>
    <row r="12" customFormat="false" ht="15" hidden="false" customHeight="false" outlineLevel="0" collapsed="false">
      <c r="A12" s="37" t="s">
        <v>601</v>
      </c>
      <c r="B12" s="38" t="n">
        <v>9</v>
      </c>
      <c r="C12" s="38" t="n">
        <v>1</v>
      </c>
      <c r="D12" s="38" t="n">
        <v>2.7</v>
      </c>
      <c r="E12" s="38" t="n">
        <v>4.7</v>
      </c>
      <c r="F12" s="38" t="n">
        <v>10</v>
      </c>
      <c r="G12" s="37" t="s">
        <v>602</v>
      </c>
    </row>
    <row r="13" customFormat="false" ht="15" hidden="false" customHeight="false" outlineLevel="0" collapsed="false">
      <c r="A13" s="37" t="s">
        <v>603</v>
      </c>
      <c r="B13" s="38" t="n">
        <v>8</v>
      </c>
      <c r="C13" s="38" t="n">
        <v>0.5</v>
      </c>
      <c r="D13" s="38" t="n">
        <v>1.4</v>
      </c>
      <c r="E13" s="38" t="n">
        <v>1.9</v>
      </c>
      <c r="F13" s="38" t="n">
        <v>2.5</v>
      </c>
      <c r="G13" s="37" t="s">
        <v>604</v>
      </c>
    </row>
    <row r="14" customFormat="false" ht="15" hidden="false" customHeight="false" outlineLevel="0" collapsed="false">
      <c r="A14" s="2"/>
      <c r="B14" s="2"/>
      <c r="C14" s="2"/>
      <c r="D14" s="2"/>
      <c r="E14" s="2"/>
      <c r="F14" s="2"/>
      <c r="G14" s="2"/>
    </row>
    <row r="15" customFormat="false" ht="15" hidden="false" customHeight="false" outlineLevel="0" collapsed="false">
      <c r="A15" s="2"/>
      <c r="B15" s="2"/>
      <c r="C15" s="2"/>
      <c r="D15" s="2"/>
      <c r="E15" s="2"/>
      <c r="F15" s="2"/>
      <c r="G15" s="2"/>
    </row>
    <row r="16" customFormat="false" ht="15" hidden="false" customHeight="false" outlineLevel="0" collapsed="false">
      <c r="A16" s="4" t="s">
        <v>605</v>
      </c>
      <c r="B16" s="2"/>
      <c r="C16" s="2"/>
      <c r="D16" s="2"/>
      <c r="E16" s="2"/>
      <c r="F16" s="2"/>
      <c r="G16" s="2"/>
    </row>
    <row r="17" customFormat="false" ht="31.5" hidden="false" customHeight="true" outlineLevel="0" collapsed="false">
      <c r="A17" s="5" t="s">
        <v>606</v>
      </c>
      <c r="B17" s="5" t="s">
        <v>607</v>
      </c>
      <c r="C17" s="5" t="s">
        <v>608</v>
      </c>
      <c r="D17" s="2"/>
      <c r="E17" s="2"/>
      <c r="F17" s="2"/>
      <c r="G17" s="2"/>
    </row>
    <row r="18" customFormat="false" ht="15" hidden="false" customHeight="false" outlineLevel="0" collapsed="false">
      <c r="A18" s="2" t="s">
        <v>609</v>
      </c>
      <c r="B18" s="38" t="n">
        <v>0.5</v>
      </c>
      <c r="C18" s="2" t="s">
        <v>610</v>
      </c>
      <c r="D18" s="2"/>
      <c r="E18" s="2"/>
      <c r="F18" s="2"/>
      <c r="G18" s="2"/>
    </row>
    <row r="19" customFormat="false" ht="15" hidden="false" customHeight="false" outlineLevel="0" collapsed="false">
      <c r="A19" s="2" t="s">
        <v>611</v>
      </c>
      <c r="B19" s="38" t="n">
        <v>2.5</v>
      </c>
      <c r="C19" s="2" t="s">
        <v>612</v>
      </c>
      <c r="D19" s="2"/>
      <c r="E19" s="2"/>
      <c r="F19" s="2"/>
      <c r="G19" s="2"/>
    </row>
    <row r="20" customFormat="false" ht="15" hidden="false" customHeight="false" outlineLevel="0" collapsed="false">
      <c r="A20" s="2" t="s">
        <v>273</v>
      </c>
      <c r="B20" s="38" t="n">
        <v>5.5</v>
      </c>
      <c r="C20" s="2" t="s">
        <v>613</v>
      </c>
      <c r="D20" s="2"/>
      <c r="E20" s="2"/>
      <c r="F20" s="2"/>
      <c r="G20" s="2"/>
    </row>
    <row r="21" customFormat="false" ht="15" hidden="false" customHeight="false" outlineLevel="0" collapsed="false">
      <c r="A21" s="2" t="s">
        <v>614</v>
      </c>
      <c r="B21" s="38" t="s">
        <v>238</v>
      </c>
      <c r="C21" s="2" t="s">
        <v>615</v>
      </c>
      <c r="D21" s="2"/>
      <c r="E21" s="2"/>
      <c r="F21" s="2"/>
      <c r="G2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30"/>
    <col collapsed="false" customWidth="true" hidden="false" outlineLevel="0" max="14" min="3" style="0" width="8"/>
    <col collapsed="false" customWidth="true" hidden="false" outlineLevel="0" max="15" min="15" style="0" width="60"/>
  </cols>
  <sheetData>
    <row r="1" customFormat="false" ht="15" hidden="false" customHeight="false" outlineLevel="0" collapsed="false">
      <c r="A1" s="61" t="s">
        <v>616</v>
      </c>
      <c r="B1" s="2"/>
      <c r="C1" s="2"/>
      <c r="D1" s="2"/>
      <c r="E1" s="2"/>
      <c r="F1" s="2"/>
      <c r="G1" s="2"/>
      <c r="H1" s="2"/>
      <c r="I1" s="2"/>
      <c r="J1" s="2"/>
      <c r="K1" s="2"/>
      <c r="L1" s="2"/>
      <c r="M1" s="2"/>
      <c r="N1" s="2"/>
      <c r="O1" s="2"/>
    </row>
    <row r="2" customFormat="false" ht="15" hidden="false" customHeight="false" outlineLevel="0" collapsed="false">
      <c r="A2" s="3" t="s">
        <v>617</v>
      </c>
      <c r="B2" s="2"/>
      <c r="C2" s="2"/>
      <c r="D2" s="2"/>
      <c r="E2" s="2"/>
      <c r="F2" s="2"/>
      <c r="G2" s="2"/>
      <c r="H2" s="2"/>
      <c r="I2" s="2"/>
      <c r="J2" s="2"/>
      <c r="K2" s="2"/>
      <c r="L2" s="2"/>
      <c r="M2" s="2"/>
      <c r="N2" s="2"/>
      <c r="O2" s="2"/>
    </row>
    <row r="3" customFormat="false" ht="31.5" hidden="false" customHeight="true" outlineLevel="0" collapsed="false">
      <c r="A3" s="5" t="s">
        <v>618</v>
      </c>
      <c r="B3" s="5" t="s">
        <v>619</v>
      </c>
      <c r="C3" s="5" t="s">
        <v>620</v>
      </c>
      <c r="D3" s="5" t="s">
        <v>621</v>
      </c>
      <c r="E3" s="5" t="s">
        <v>622</v>
      </c>
      <c r="F3" s="5" t="s">
        <v>623</v>
      </c>
      <c r="G3" s="5" t="s">
        <v>624</v>
      </c>
      <c r="H3" s="5" t="s">
        <v>625</v>
      </c>
      <c r="I3" s="5" t="s">
        <v>626</v>
      </c>
      <c r="J3" s="5" t="s">
        <v>627</v>
      </c>
      <c r="K3" s="5" t="s">
        <v>628</v>
      </c>
      <c r="L3" s="5" t="s">
        <v>629</v>
      </c>
      <c r="M3" s="5" t="s">
        <v>630</v>
      </c>
      <c r="N3" s="5" t="s">
        <v>631</v>
      </c>
      <c r="O3" s="5" t="s">
        <v>632</v>
      </c>
    </row>
    <row r="4" customFormat="false" ht="15" hidden="false" customHeight="false" outlineLevel="0" collapsed="false">
      <c r="A4" s="2" t="s">
        <v>11</v>
      </c>
      <c r="B4" s="2" t="s">
        <v>633</v>
      </c>
      <c r="C4" s="63" t="n">
        <v>1.25</v>
      </c>
      <c r="D4" s="63" t="n">
        <v>1.1</v>
      </c>
      <c r="E4" s="63" t="n">
        <v>1.55</v>
      </c>
      <c r="F4" s="63" t="n">
        <v>4.4</v>
      </c>
      <c r="G4" s="63" t="n">
        <v>1.2</v>
      </c>
      <c r="H4" s="63" t="n">
        <v>1.55</v>
      </c>
      <c r="I4" s="63" t="n">
        <v>0.95</v>
      </c>
      <c r="J4" s="63" t="n">
        <v>2.4</v>
      </c>
      <c r="K4" s="64" t="n">
        <v>1.2</v>
      </c>
      <c r="L4" s="64" t="n">
        <v>1.2</v>
      </c>
      <c r="M4" s="64" t="n">
        <v>1.95</v>
      </c>
      <c r="N4" s="64" t="n">
        <v>0.5</v>
      </c>
      <c r="O4" s="2" t="s">
        <v>240</v>
      </c>
    </row>
    <row r="5" customFormat="false" ht="15" hidden="false" customHeight="false" outlineLevel="0" collapsed="false">
      <c r="A5" s="2"/>
      <c r="B5" s="2" t="s">
        <v>634</v>
      </c>
      <c r="C5" s="63" t="n">
        <v>0.75</v>
      </c>
      <c r="D5" s="63"/>
      <c r="E5" s="63"/>
      <c r="F5" s="63" t="n">
        <v>2.5</v>
      </c>
      <c r="G5" s="63" t="n">
        <v>0.7</v>
      </c>
      <c r="H5" s="63" t="n">
        <v>0.7</v>
      </c>
      <c r="I5" s="63" t="n">
        <v>0.7</v>
      </c>
      <c r="J5" s="63" t="n">
        <v>0.7</v>
      </c>
      <c r="K5" s="63" t="n">
        <v>0.7</v>
      </c>
      <c r="L5" s="63" t="n">
        <v>0.7</v>
      </c>
      <c r="M5" s="63" t="n">
        <v>0.7</v>
      </c>
      <c r="N5" s="63"/>
      <c r="O5" s="2"/>
    </row>
    <row r="6" customFormat="false" ht="15" hidden="false" customHeight="false" outlineLevel="0" collapsed="false">
      <c r="A6" s="2"/>
      <c r="B6" s="2" t="s">
        <v>635</v>
      </c>
      <c r="C6" s="63"/>
      <c r="D6" s="63" t="n">
        <v>1.1</v>
      </c>
      <c r="E6" s="63" t="n">
        <v>1.55</v>
      </c>
      <c r="F6" s="63" t="n">
        <v>0.75</v>
      </c>
      <c r="G6" s="63"/>
      <c r="H6" s="63" t="n">
        <v>0.85</v>
      </c>
      <c r="I6" s="63"/>
      <c r="J6" s="63"/>
      <c r="K6" s="63"/>
      <c r="L6" s="63"/>
      <c r="M6" s="63"/>
      <c r="N6" s="63"/>
      <c r="O6" s="2"/>
    </row>
    <row r="7" customFormat="false" ht="15" hidden="false" customHeight="false" outlineLevel="0" collapsed="false">
      <c r="A7" s="2" t="s">
        <v>16</v>
      </c>
      <c r="B7" s="2" t="s">
        <v>633</v>
      </c>
      <c r="C7" s="63" t="n">
        <v>1.1</v>
      </c>
      <c r="D7" s="63" t="n">
        <v>1.25</v>
      </c>
      <c r="E7" s="63"/>
      <c r="F7" s="63" t="n">
        <v>2</v>
      </c>
      <c r="G7" s="63"/>
      <c r="H7" s="63"/>
      <c r="I7" s="64" t="n">
        <v>2.4</v>
      </c>
      <c r="J7" s="64"/>
      <c r="K7" s="64"/>
      <c r="L7" s="64" t="n">
        <v>2.3</v>
      </c>
      <c r="M7" s="64"/>
      <c r="N7" s="64"/>
      <c r="O7" s="2" t="s">
        <v>246</v>
      </c>
    </row>
    <row r="8" customFormat="false" ht="15" hidden="false" customHeight="false" outlineLevel="0" collapsed="false">
      <c r="A8" s="2"/>
      <c r="B8" s="2" t="s">
        <v>634</v>
      </c>
      <c r="C8" s="63"/>
      <c r="D8" s="63" t="n">
        <v>0.7</v>
      </c>
      <c r="E8" s="63"/>
      <c r="F8" s="63" t="n">
        <v>1.25</v>
      </c>
      <c r="G8" s="63"/>
      <c r="H8" s="63"/>
      <c r="I8" s="63" t="n">
        <v>1.2</v>
      </c>
      <c r="J8" s="63"/>
      <c r="K8" s="63"/>
      <c r="L8" s="63" t="n">
        <v>1.3</v>
      </c>
      <c r="M8" s="63"/>
      <c r="N8" s="63"/>
      <c r="O8" s="2"/>
    </row>
    <row r="9" customFormat="false" ht="15" hidden="false" customHeight="false" outlineLevel="0" collapsed="false">
      <c r="A9" s="2"/>
      <c r="B9" s="2" t="s">
        <v>635</v>
      </c>
      <c r="C9" s="63"/>
      <c r="D9" s="63" t="n">
        <v>0.55</v>
      </c>
      <c r="E9" s="63"/>
      <c r="F9" s="63" t="n">
        <v>0.2</v>
      </c>
      <c r="G9" s="63"/>
      <c r="H9" s="63"/>
      <c r="I9" s="63" t="n">
        <v>1.2</v>
      </c>
      <c r="J9" s="63"/>
      <c r="K9" s="63"/>
      <c r="L9" s="63"/>
      <c r="M9" s="63"/>
      <c r="N9" s="63"/>
      <c r="O9" s="2"/>
    </row>
    <row r="10" customFormat="false" ht="15" hidden="false" customHeight="false" outlineLevel="0" collapsed="false">
      <c r="A10" s="2" t="s">
        <v>19</v>
      </c>
      <c r="B10" s="2" t="s">
        <v>633</v>
      </c>
      <c r="C10" s="63" t="n">
        <v>1</v>
      </c>
      <c r="D10" s="63" t="n">
        <v>0.2</v>
      </c>
      <c r="E10" s="63" t="n">
        <v>0.35</v>
      </c>
      <c r="F10" s="63" t="n">
        <v>2.2</v>
      </c>
      <c r="G10" s="63"/>
      <c r="H10" s="63"/>
      <c r="I10" s="63"/>
      <c r="J10" s="63"/>
      <c r="K10" s="63"/>
      <c r="L10" s="63"/>
      <c r="M10" s="63"/>
      <c r="N10" s="63"/>
      <c r="O10" s="2" t="s">
        <v>256</v>
      </c>
    </row>
    <row r="11" customFormat="false" ht="15" hidden="false" customHeight="false" outlineLevel="0" collapsed="false">
      <c r="A11" s="2"/>
      <c r="B11" s="2" t="s">
        <v>634</v>
      </c>
      <c r="C11" s="63"/>
      <c r="D11" s="63"/>
      <c r="E11" s="63"/>
      <c r="F11" s="63" t="n">
        <v>1</v>
      </c>
      <c r="G11" s="63"/>
      <c r="H11" s="63"/>
      <c r="I11" s="63"/>
      <c r="J11" s="63"/>
      <c r="K11" s="63"/>
      <c r="L11" s="63"/>
      <c r="M11" s="63"/>
      <c r="N11" s="63"/>
      <c r="O11" s="2"/>
    </row>
    <row r="12" customFormat="false" ht="15" hidden="false" customHeight="false" outlineLevel="0" collapsed="false">
      <c r="A12" s="2"/>
      <c r="B12" s="2" t="s">
        <v>635</v>
      </c>
      <c r="C12" s="63"/>
      <c r="D12" s="63"/>
      <c r="E12" s="63" t="n">
        <v>0.25</v>
      </c>
      <c r="F12" s="63" t="n">
        <v>0.8</v>
      </c>
      <c r="G12" s="63"/>
      <c r="H12" s="63"/>
      <c r="I12" s="63"/>
      <c r="J12" s="63"/>
      <c r="K12" s="63"/>
      <c r="L12" s="63"/>
      <c r="M12" s="63"/>
      <c r="N12" s="63"/>
      <c r="O12" s="2"/>
    </row>
    <row r="13" customFormat="false" ht="15" hidden="false" customHeight="false" outlineLevel="0" collapsed="false">
      <c r="A13" s="2" t="s">
        <v>22</v>
      </c>
      <c r="B13" s="2" t="s">
        <v>633</v>
      </c>
      <c r="C13" s="63" t="n">
        <v>1.4</v>
      </c>
      <c r="D13" s="63" t="n">
        <v>0.8</v>
      </c>
      <c r="E13" s="63" t="n">
        <v>1</v>
      </c>
      <c r="F13" s="63" t="n">
        <v>1.25</v>
      </c>
      <c r="G13" s="63" t="n">
        <v>1.35</v>
      </c>
      <c r="H13" s="63" t="n">
        <v>1.5</v>
      </c>
      <c r="I13" s="63" t="n">
        <v>0.9</v>
      </c>
      <c r="J13" s="63" t="n">
        <v>2.2</v>
      </c>
      <c r="K13" s="63" t="n">
        <v>1.7</v>
      </c>
      <c r="L13" s="64" t="n">
        <v>2.95</v>
      </c>
      <c r="M13" s="64" t="n">
        <v>2.95</v>
      </c>
      <c r="N13" s="64" t="n">
        <v>2.25</v>
      </c>
      <c r="O13" s="2" t="s">
        <v>258</v>
      </c>
    </row>
    <row r="14" customFormat="false" ht="15" hidden="false" customHeight="false" outlineLevel="0" collapsed="false">
      <c r="A14" s="2"/>
      <c r="B14" s="2" t="s">
        <v>634</v>
      </c>
      <c r="C14" s="63" t="n">
        <v>0.75</v>
      </c>
      <c r="D14" s="63" t="n">
        <v>0.5</v>
      </c>
      <c r="E14" s="63" t="n">
        <v>0.7</v>
      </c>
      <c r="F14" s="63" t="n">
        <v>0.7</v>
      </c>
      <c r="G14" s="63" t="n">
        <v>0.7</v>
      </c>
      <c r="H14" s="63" t="n">
        <v>0.7</v>
      </c>
      <c r="I14" s="63" t="n">
        <v>0.7</v>
      </c>
      <c r="J14" s="63" t="n">
        <v>0.5</v>
      </c>
      <c r="K14" s="63" t="n">
        <v>0.7</v>
      </c>
      <c r="L14" s="63" t="n">
        <v>0.7</v>
      </c>
      <c r="M14" s="63" t="n">
        <v>0.7</v>
      </c>
      <c r="N14" s="63"/>
      <c r="O14" s="2"/>
    </row>
    <row r="15" customFormat="false" ht="15" hidden="false" customHeight="false" outlineLevel="0" collapsed="false">
      <c r="A15" s="2"/>
      <c r="B15" s="2" t="s">
        <v>635</v>
      </c>
      <c r="C15" s="63"/>
      <c r="D15" s="63"/>
      <c r="E15" s="63" t="n">
        <v>0.1</v>
      </c>
      <c r="F15" s="63" t="n">
        <v>0.35</v>
      </c>
      <c r="G15" s="63"/>
      <c r="H15" s="63" t="n">
        <v>0.8</v>
      </c>
      <c r="I15" s="63"/>
      <c r="J15" s="63"/>
      <c r="K15" s="63"/>
      <c r="L15" s="63"/>
      <c r="M15" s="63"/>
      <c r="N15" s="63"/>
      <c r="O15" s="2"/>
    </row>
    <row r="16" customFormat="false" ht="15" hidden="false" customHeight="false" outlineLevel="0" collapsed="false">
      <c r="A16" s="2" t="s">
        <v>23</v>
      </c>
      <c r="B16" s="2" t="s">
        <v>633</v>
      </c>
      <c r="C16" s="63" t="n">
        <v>1.25</v>
      </c>
      <c r="D16" s="63" t="n">
        <v>0.7</v>
      </c>
      <c r="E16" s="63" t="n">
        <v>1.05</v>
      </c>
      <c r="F16" s="63" t="n">
        <v>1.3</v>
      </c>
      <c r="G16" s="64" t="n">
        <v>1.1</v>
      </c>
      <c r="H16" s="64" t="n">
        <v>1.7</v>
      </c>
      <c r="I16" s="64" t="n">
        <v>1.2</v>
      </c>
      <c r="J16" s="64" t="n">
        <v>2.4</v>
      </c>
      <c r="K16" s="64" t="n">
        <v>1.7</v>
      </c>
      <c r="L16" s="64" t="n">
        <v>1.95</v>
      </c>
      <c r="M16" s="64" t="n">
        <v>1.95</v>
      </c>
      <c r="N16" s="64" t="n">
        <v>1.25</v>
      </c>
      <c r="O16" s="2" t="s">
        <v>262</v>
      </c>
    </row>
    <row r="17" customFormat="false" ht="15" hidden="false" customHeight="false" outlineLevel="0" collapsed="false">
      <c r="A17" s="2"/>
      <c r="B17" s="2" t="s">
        <v>634</v>
      </c>
      <c r="C17" s="63" t="n">
        <v>0.75</v>
      </c>
      <c r="D17" s="63" t="n">
        <v>0.5</v>
      </c>
      <c r="E17" s="63" t="n">
        <v>0.7</v>
      </c>
      <c r="F17" s="63" t="n">
        <v>0.7</v>
      </c>
      <c r="G17" s="63" t="n">
        <v>0.7</v>
      </c>
      <c r="H17" s="63" t="n">
        <v>1</v>
      </c>
      <c r="I17" s="63" t="n">
        <v>1</v>
      </c>
      <c r="J17" s="63" t="n">
        <v>0.7</v>
      </c>
      <c r="K17" s="63" t="n">
        <v>0.7</v>
      </c>
      <c r="L17" s="63" t="n">
        <v>0.7</v>
      </c>
      <c r="M17" s="63" t="n">
        <v>0.7</v>
      </c>
      <c r="N17" s="63"/>
      <c r="O17" s="2"/>
    </row>
    <row r="18" customFormat="false" ht="15" hidden="false" customHeight="false" outlineLevel="0" collapsed="false">
      <c r="A18" s="2"/>
      <c r="B18" s="2" t="s">
        <v>635</v>
      </c>
      <c r="C18" s="63"/>
      <c r="D18" s="63"/>
      <c r="E18" s="63" t="n">
        <v>0.1</v>
      </c>
      <c r="F18" s="63" t="n">
        <v>0.4</v>
      </c>
      <c r="G18" s="63"/>
      <c r="H18" s="63" t="n">
        <v>0.7</v>
      </c>
      <c r="I18" s="63"/>
      <c r="J18" s="63"/>
      <c r="K18" s="63"/>
      <c r="L18" s="63"/>
      <c r="M18" s="63"/>
      <c r="N18" s="63"/>
      <c r="O18" s="2"/>
    </row>
    <row r="19" customFormat="false" ht="15" hidden="false" customHeight="false" outlineLevel="0" collapsed="false">
      <c r="A19" s="2" t="s">
        <v>24</v>
      </c>
      <c r="B19" s="2" t="s">
        <v>633</v>
      </c>
      <c r="C19" s="63" t="n">
        <v>1.1</v>
      </c>
      <c r="D19" s="63" t="n">
        <v>1.95</v>
      </c>
      <c r="E19" s="63" t="n">
        <v>1.25</v>
      </c>
      <c r="F19" s="63" t="n">
        <v>1.55</v>
      </c>
      <c r="G19" s="64" t="n">
        <v>1.45</v>
      </c>
      <c r="H19" s="64" t="n">
        <v>1.35</v>
      </c>
      <c r="I19" s="64" t="n">
        <v>1.55</v>
      </c>
      <c r="J19" s="64" t="n">
        <v>3.15</v>
      </c>
      <c r="K19" s="64" t="n">
        <v>1</v>
      </c>
      <c r="L19" s="64" t="n">
        <v>2.7</v>
      </c>
      <c r="M19" s="64" t="n">
        <v>4.15</v>
      </c>
      <c r="N19" s="64" t="n">
        <v>2.25</v>
      </c>
      <c r="O19" s="2" t="s">
        <v>262</v>
      </c>
    </row>
    <row r="20" customFormat="false" ht="15" hidden="false" customHeight="false" outlineLevel="0" collapsed="false">
      <c r="A20" s="2"/>
      <c r="B20" s="2" t="s">
        <v>634</v>
      </c>
      <c r="C20" s="63" t="n">
        <v>0.5</v>
      </c>
      <c r="D20" s="63" t="n">
        <v>0.7</v>
      </c>
      <c r="E20" s="63" t="n">
        <v>0.7</v>
      </c>
      <c r="F20" s="63" t="n">
        <v>0.7</v>
      </c>
      <c r="G20" s="63" t="n">
        <v>0.7</v>
      </c>
      <c r="H20" s="63" t="n">
        <v>0.7</v>
      </c>
      <c r="I20" s="63" t="n">
        <v>1</v>
      </c>
      <c r="J20" s="63" t="n">
        <v>0.7</v>
      </c>
      <c r="K20" s="63"/>
      <c r="L20" s="63" t="n">
        <v>0.7</v>
      </c>
      <c r="M20" s="63" t="n">
        <v>1.4</v>
      </c>
      <c r="N20" s="63"/>
      <c r="O20" s="2"/>
    </row>
    <row r="21" customFormat="false" ht="15" hidden="false" customHeight="false" outlineLevel="0" collapsed="false">
      <c r="A21" s="2"/>
      <c r="B21" s="2" t="s">
        <v>635</v>
      </c>
      <c r="C21" s="63"/>
      <c r="D21" s="63" t="n">
        <v>0.65</v>
      </c>
      <c r="E21" s="63" t="n">
        <v>0.1</v>
      </c>
      <c r="F21" s="63" t="n">
        <v>0.3</v>
      </c>
      <c r="G21" s="63"/>
      <c r="H21" s="63" t="n">
        <v>0.65</v>
      </c>
      <c r="I21" s="63"/>
      <c r="J21" s="63"/>
      <c r="K21" s="63" t="n">
        <v>1</v>
      </c>
      <c r="L21" s="63"/>
      <c r="M21" s="63"/>
      <c r="N21" s="63"/>
      <c r="O21" s="2"/>
    </row>
    <row r="22" customFormat="false" ht="15" hidden="false" customHeight="false" outlineLevel="0" collapsed="false">
      <c r="A22" s="2" t="s">
        <v>25</v>
      </c>
      <c r="B22" s="2" t="s">
        <v>633</v>
      </c>
      <c r="C22" s="63" t="n">
        <v>0.8</v>
      </c>
      <c r="D22" s="63" t="n">
        <v>1.05</v>
      </c>
      <c r="E22" s="63" t="n">
        <v>1.3</v>
      </c>
      <c r="F22" s="63" t="n">
        <v>1.35</v>
      </c>
      <c r="G22" s="63" t="n">
        <v>1.25</v>
      </c>
      <c r="H22" s="63" t="n">
        <v>1.05</v>
      </c>
      <c r="I22" s="64" t="n">
        <v>1.12</v>
      </c>
      <c r="J22" s="64" t="n">
        <v>1.05</v>
      </c>
      <c r="K22" s="64" t="n">
        <v>1.75</v>
      </c>
      <c r="L22" s="64" t="n">
        <v>2</v>
      </c>
      <c r="M22" s="64" t="n">
        <v>3</v>
      </c>
      <c r="N22" s="64" t="n">
        <v>0.75</v>
      </c>
      <c r="O22" s="2" t="s">
        <v>271</v>
      </c>
    </row>
    <row r="23" customFormat="false" ht="15" hidden="false" customHeight="false" outlineLevel="0" collapsed="false">
      <c r="A23" s="2"/>
      <c r="B23" s="2" t="s">
        <v>634</v>
      </c>
      <c r="C23" s="63" t="n">
        <v>0.5</v>
      </c>
      <c r="D23" s="63" t="n">
        <v>0.5</v>
      </c>
      <c r="E23" s="63" t="n">
        <v>0.7</v>
      </c>
      <c r="F23" s="63" t="n">
        <v>0.7</v>
      </c>
      <c r="G23" s="63" t="n">
        <v>0.7</v>
      </c>
      <c r="H23" s="63" t="n">
        <v>0.7</v>
      </c>
      <c r="I23" s="63" t="n">
        <v>0.7</v>
      </c>
      <c r="J23" s="63"/>
      <c r="K23" s="63" t="n">
        <v>0.25</v>
      </c>
      <c r="L23" s="63" t="n">
        <v>0.25</v>
      </c>
      <c r="M23" s="63" t="n">
        <v>0.25</v>
      </c>
      <c r="N23" s="63" t="n">
        <v>0.25</v>
      </c>
      <c r="O23" s="2"/>
    </row>
    <row r="24" customFormat="false" ht="15" hidden="false" customHeight="false" outlineLevel="0" collapsed="false">
      <c r="A24" s="2"/>
      <c r="B24" s="2" t="s">
        <v>635</v>
      </c>
      <c r="C24" s="63"/>
      <c r="D24" s="63" t="n">
        <v>0.1</v>
      </c>
      <c r="E24" s="63" t="n">
        <v>0.1</v>
      </c>
      <c r="F24" s="63" t="n">
        <v>0.25</v>
      </c>
      <c r="G24" s="63"/>
      <c r="H24" s="63"/>
      <c r="I24" s="63"/>
      <c r="J24" s="63"/>
      <c r="K24" s="63"/>
      <c r="L24" s="63" t="n">
        <v>0.75</v>
      </c>
      <c r="M24" s="63"/>
      <c r="N24" s="63"/>
      <c r="O24" s="2"/>
    </row>
    <row r="25" customFormat="false" ht="15" hidden="false" customHeight="false" outlineLevel="0" collapsed="false">
      <c r="A25" s="2" t="s">
        <v>26</v>
      </c>
      <c r="B25" s="2" t="s">
        <v>633</v>
      </c>
      <c r="C25" s="63" t="n">
        <v>1</v>
      </c>
      <c r="D25" s="63" t="n">
        <v>2.65</v>
      </c>
      <c r="E25" s="63" t="n">
        <v>6.35</v>
      </c>
      <c r="F25" s="63" t="n">
        <v>3.35</v>
      </c>
      <c r="G25" s="63" t="n">
        <v>1.05</v>
      </c>
      <c r="H25" s="63" t="n">
        <v>1</v>
      </c>
      <c r="I25" s="63" t="n">
        <v>1.66</v>
      </c>
      <c r="J25" s="63" t="n">
        <v>1.42</v>
      </c>
      <c r="K25" s="64" t="n">
        <v>3.25</v>
      </c>
      <c r="L25" s="64" t="n">
        <v>2.9</v>
      </c>
      <c r="M25" s="64" t="n">
        <v>2.75</v>
      </c>
      <c r="N25" s="64" t="n">
        <v>2</v>
      </c>
      <c r="O25" s="2" t="s">
        <v>240</v>
      </c>
    </row>
    <row r="26" customFormat="false" ht="15" hidden="false" customHeight="false" outlineLevel="0" collapsed="false">
      <c r="A26" s="2"/>
      <c r="B26" s="2" t="s">
        <v>634</v>
      </c>
      <c r="C26" s="63" t="n">
        <v>0.5</v>
      </c>
      <c r="D26" s="63" t="n">
        <v>0.5</v>
      </c>
      <c r="E26" s="63" t="n">
        <v>0.7</v>
      </c>
      <c r="F26" s="63" t="n">
        <v>0.7</v>
      </c>
      <c r="G26" s="63" t="n">
        <v>0.7</v>
      </c>
      <c r="H26" s="63" t="n">
        <v>0.7</v>
      </c>
      <c r="I26" s="63" t="n">
        <v>0.7</v>
      </c>
      <c r="J26" s="63" t="n">
        <v>0.7</v>
      </c>
      <c r="K26" s="63" t="n">
        <v>0.25</v>
      </c>
      <c r="L26" s="63" t="n">
        <v>0.65</v>
      </c>
      <c r="M26" s="63" t="n">
        <v>0.25</v>
      </c>
      <c r="N26" s="63" t="n">
        <v>0.25</v>
      </c>
      <c r="O26" s="2"/>
    </row>
    <row r="27" customFormat="false" ht="15" hidden="false" customHeight="false" outlineLevel="0" collapsed="false">
      <c r="A27" s="2"/>
      <c r="B27" s="2" t="s">
        <v>635</v>
      </c>
      <c r="C27" s="63"/>
      <c r="D27" s="63" t="n">
        <v>0.7</v>
      </c>
      <c r="E27" s="63" t="n">
        <v>1.5</v>
      </c>
      <c r="F27" s="63" t="n">
        <v>2.25</v>
      </c>
      <c r="G27" s="63"/>
      <c r="H27" s="63"/>
      <c r="I27" s="63"/>
      <c r="J27" s="63"/>
      <c r="K27" s="63" t="n">
        <v>1</v>
      </c>
      <c r="L27" s="63" t="n">
        <v>0.75</v>
      </c>
      <c r="M27" s="63"/>
      <c r="N27" s="63"/>
      <c r="O27" s="2"/>
    </row>
    <row r="28" customFormat="false" ht="15" hidden="false" customHeight="false" outlineLevel="0" collapsed="false">
      <c r="A28" s="2" t="s">
        <v>27</v>
      </c>
      <c r="B28" s="2" t="s">
        <v>633</v>
      </c>
      <c r="C28" s="63" t="n">
        <v>29.8</v>
      </c>
      <c r="D28" s="63" t="n">
        <v>29.1</v>
      </c>
      <c r="E28" s="63" t="n">
        <v>39.85</v>
      </c>
      <c r="F28" s="63" t="n">
        <v>32.85</v>
      </c>
      <c r="G28" s="63" t="n">
        <v>33.8</v>
      </c>
      <c r="H28" s="63" t="n">
        <v>37.1</v>
      </c>
      <c r="I28" s="63" t="n">
        <v>22.55</v>
      </c>
      <c r="J28" s="63" t="n">
        <v>30.2</v>
      </c>
      <c r="K28" s="63" t="n">
        <v>42.2</v>
      </c>
      <c r="L28" s="64" t="n">
        <v>34.7</v>
      </c>
      <c r="M28" s="64" t="n">
        <v>30.8</v>
      </c>
      <c r="N28" s="64" t="n">
        <v>33.25</v>
      </c>
      <c r="O28" s="2" t="s">
        <v>258</v>
      </c>
    </row>
    <row r="29" customFormat="false" ht="15" hidden="false" customHeight="false" outlineLevel="0" collapsed="false">
      <c r="A29" s="2"/>
      <c r="B29" s="2" t="s">
        <v>634</v>
      </c>
      <c r="C29" s="63" t="n">
        <v>1</v>
      </c>
      <c r="D29" s="63" t="n">
        <v>1.2</v>
      </c>
      <c r="E29" s="63" t="n">
        <v>1</v>
      </c>
      <c r="F29" s="63" t="n">
        <v>0.7</v>
      </c>
      <c r="G29" s="63" t="n">
        <v>1</v>
      </c>
      <c r="H29" s="63" t="n">
        <v>1</v>
      </c>
      <c r="I29" s="63" t="n">
        <v>1</v>
      </c>
      <c r="J29" s="63" t="n">
        <v>1.75</v>
      </c>
      <c r="K29" s="63" t="n">
        <v>2</v>
      </c>
      <c r="L29" s="63"/>
      <c r="M29" s="63" t="n">
        <v>1</v>
      </c>
      <c r="N29" s="63"/>
      <c r="O29" s="2"/>
    </row>
    <row r="30" customFormat="false" ht="15" hidden="false" customHeight="false" outlineLevel="0" collapsed="false">
      <c r="A30" s="2"/>
      <c r="B30" s="2" t="s">
        <v>635</v>
      </c>
      <c r="C30" s="63" t="n">
        <v>6.95</v>
      </c>
      <c r="D30" s="63" t="n">
        <v>2.5</v>
      </c>
      <c r="E30" s="63" t="n">
        <v>11.55</v>
      </c>
      <c r="F30" s="63" t="n">
        <v>5.5</v>
      </c>
      <c r="G30" s="63" t="n">
        <v>10.2</v>
      </c>
      <c r="H30" s="63" t="n">
        <v>10.65</v>
      </c>
      <c r="I30" s="63" t="n">
        <v>0.65</v>
      </c>
      <c r="J30" s="63"/>
      <c r="K30" s="63" t="n">
        <v>1</v>
      </c>
      <c r="L30" s="63" t="n">
        <v>8.85</v>
      </c>
      <c r="M30" s="63" t="n">
        <v>6.15</v>
      </c>
      <c r="N30" s="63" t="n">
        <v>8.25</v>
      </c>
      <c r="O30" s="2"/>
    </row>
    <row r="31" customFormat="false" ht="15" hidden="false" customHeight="false" outlineLevel="0" collapsed="false">
      <c r="A31" s="2" t="s">
        <v>31</v>
      </c>
      <c r="B31" s="2" t="s">
        <v>633</v>
      </c>
      <c r="C31" s="63"/>
      <c r="D31" s="63" t="n">
        <v>7</v>
      </c>
      <c r="E31" s="63" t="n">
        <v>2</v>
      </c>
      <c r="F31" s="63" t="n">
        <v>6.05</v>
      </c>
      <c r="G31" s="63" t="n">
        <v>1.5</v>
      </c>
      <c r="H31" s="63" t="n">
        <v>6.1</v>
      </c>
      <c r="I31" s="64" t="n">
        <v>1.5</v>
      </c>
      <c r="J31" s="64" t="n">
        <v>1.75</v>
      </c>
      <c r="K31" s="64" t="n">
        <v>0.75</v>
      </c>
      <c r="L31" s="64" t="n">
        <v>1</v>
      </c>
      <c r="M31" s="64" t="n">
        <v>3.05</v>
      </c>
      <c r="N31" s="64" t="n">
        <v>4.75</v>
      </c>
      <c r="O31" s="2" t="s">
        <v>271</v>
      </c>
    </row>
    <row r="32" customFormat="false" ht="15" hidden="false" customHeight="false" outlineLevel="0" collapsed="false">
      <c r="A32" s="2"/>
      <c r="B32" s="2" t="s">
        <v>634</v>
      </c>
      <c r="C32" s="63"/>
      <c r="D32" s="63" t="n">
        <v>1.75</v>
      </c>
      <c r="E32" s="63"/>
      <c r="F32" s="63" t="n">
        <v>0.5</v>
      </c>
      <c r="G32" s="63"/>
      <c r="H32" s="63" t="n">
        <v>0.5</v>
      </c>
      <c r="I32" s="63" t="n">
        <v>0.5</v>
      </c>
      <c r="J32" s="63" t="n">
        <v>0.25</v>
      </c>
      <c r="K32" s="63"/>
      <c r="L32" s="63"/>
      <c r="M32" s="63"/>
      <c r="N32" s="63" t="n">
        <v>0.5</v>
      </c>
      <c r="O32" s="2"/>
    </row>
    <row r="33" customFormat="false" ht="15" hidden="false" customHeight="false" outlineLevel="0" collapsed="false">
      <c r="A33" s="2"/>
      <c r="B33" s="2" t="s">
        <v>635</v>
      </c>
      <c r="C33" s="63"/>
      <c r="D33" s="63" t="n">
        <v>0.75</v>
      </c>
      <c r="E33" s="63"/>
      <c r="F33" s="63" t="n">
        <v>0.55</v>
      </c>
      <c r="G33" s="63"/>
      <c r="H33" s="63"/>
      <c r="I33" s="63"/>
      <c r="J33" s="63"/>
      <c r="K33" s="63"/>
      <c r="L33" s="63"/>
      <c r="M33" s="63" t="n">
        <v>0.55</v>
      </c>
      <c r="N33" s="63" t="n">
        <v>4.25</v>
      </c>
      <c r="O33" s="2"/>
    </row>
    <row r="34" customFormat="false" ht="15" hidden="false" customHeight="false" outlineLevel="0" collapsed="false">
      <c r="A34" s="2" t="s">
        <v>32</v>
      </c>
      <c r="B34" s="2" t="s">
        <v>633</v>
      </c>
      <c r="C34" s="63" t="n">
        <v>3.25</v>
      </c>
      <c r="D34" s="63" t="n">
        <v>1.1</v>
      </c>
      <c r="E34" s="63" t="n">
        <v>2</v>
      </c>
      <c r="F34" s="63" t="n">
        <v>4</v>
      </c>
      <c r="G34" s="63"/>
      <c r="H34" s="63" t="n">
        <v>0.15</v>
      </c>
      <c r="I34" s="64" t="n">
        <v>7.25</v>
      </c>
      <c r="J34" s="64" t="n">
        <v>1.2</v>
      </c>
      <c r="K34" s="64"/>
      <c r="L34" s="64" t="n">
        <v>6.5</v>
      </c>
      <c r="M34" s="64" t="n">
        <v>5.25</v>
      </c>
      <c r="N34" s="64" t="n">
        <v>2.5</v>
      </c>
      <c r="O34" s="2" t="s">
        <v>295</v>
      </c>
    </row>
    <row r="35" customFormat="false" ht="15" hidden="false" customHeight="false" outlineLevel="0" collapsed="false">
      <c r="A35" s="2"/>
      <c r="B35" s="2" t="s">
        <v>634</v>
      </c>
      <c r="C35" s="63"/>
      <c r="D35" s="63"/>
      <c r="E35" s="63"/>
      <c r="F35" s="63" t="n">
        <v>1.25</v>
      </c>
      <c r="G35" s="63"/>
      <c r="H35" s="63"/>
      <c r="I35" s="63"/>
      <c r="J35" s="63" t="n">
        <v>1.2</v>
      </c>
      <c r="K35" s="63"/>
      <c r="L35" s="63"/>
      <c r="M35" s="63" t="n">
        <v>1</v>
      </c>
      <c r="N35" s="63"/>
      <c r="O35" s="2"/>
    </row>
    <row r="36" customFormat="false" ht="15" hidden="false" customHeight="false" outlineLevel="0" collapsed="false">
      <c r="A36" s="2"/>
      <c r="B36" s="2" t="s">
        <v>635</v>
      </c>
      <c r="C36" s="63"/>
      <c r="D36" s="63" t="n">
        <v>0.35</v>
      </c>
      <c r="E36" s="63"/>
      <c r="F36" s="63"/>
      <c r="G36" s="63"/>
      <c r="H36" s="63" t="n">
        <v>0.15</v>
      </c>
      <c r="I36" s="63" t="n">
        <v>1.25</v>
      </c>
      <c r="J36" s="63"/>
      <c r="K36" s="63"/>
      <c r="L36" s="63"/>
      <c r="M36" s="63"/>
      <c r="N36" s="63"/>
      <c r="O36" s="2"/>
    </row>
    <row r="37" customFormat="false" ht="15" hidden="false" customHeight="false" outlineLevel="0" collapsed="false">
      <c r="A37" s="2" t="s">
        <v>33</v>
      </c>
      <c r="B37" s="2" t="s">
        <v>633</v>
      </c>
      <c r="C37" s="63" t="n">
        <v>18.45</v>
      </c>
      <c r="D37" s="63" t="n">
        <v>14.6</v>
      </c>
      <c r="E37" s="63" t="n">
        <v>6.5</v>
      </c>
      <c r="F37" s="63" t="n">
        <v>15.5</v>
      </c>
      <c r="G37" s="63" t="n">
        <v>23.75</v>
      </c>
      <c r="H37" s="63" t="n">
        <v>10.85</v>
      </c>
      <c r="I37" s="63" t="n">
        <v>20.87</v>
      </c>
      <c r="J37" s="63" t="n">
        <v>16.45</v>
      </c>
      <c r="K37" s="64" t="n">
        <v>17</v>
      </c>
      <c r="L37" s="64" t="n">
        <v>11.75</v>
      </c>
      <c r="M37" s="64" t="n">
        <v>8.75</v>
      </c>
      <c r="N37" s="64" t="n">
        <v>11.85</v>
      </c>
      <c r="O37" s="2" t="s">
        <v>240</v>
      </c>
    </row>
    <row r="38" customFormat="false" ht="15" hidden="false" customHeight="false" outlineLevel="0" collapsed="false">
      <c r="A38" s="2"/>
      <c r="B38" s="2" t="s">
        <v>634</v>
      </c>
      <c r="C38" s="63" t="n">
        <v>1.5</v>
      </c>
      <c r="D38" s="63"/>
      <c r="E38" s="63" t="n">
        <v>1</v>
      </c>
      <c r="F38" s="63" t="n">
        <v>1.5</v>
      </c>
      <c r="G38" s="63" t="n">
        <v>1</v>
      </c>
      <c r="H38" s="63" t="n">
        <v>1</v>
      </c>
      <c r="I38" s="63" t="n">
        <v>3.6</v>
      </c>
      <c r="J38" s="63"/>
      <c r="K38" s="63" t="n">
        <v>2</v>
      </c>
      <c r="L38" s="63" t="n">
        <v>3</v>
      </c>
      <c r="M38" s="63" t="n">
        <v>0.25</v>
      </c>
      <c r="N38" s="63" t="n">
        <v>0.25</v>
      </c>
      <c r="O38" s="2"/>
    </row>
    <row r="39" customFormat="false" ht="15" hidden="false" customHeight="false" outlineLevel="0" collapsed="false">
      <c r="A39" s="2"/>
      <c r="B39" s="2" t="s">
        <v>635</v>
      </c>
      <c r="C39" s="63" t="n">
        <v>6</v>
      </c>
      <c r="D39" s="63" t="n">
        <v>12.6</v>
      </c>
      <c r="E39" s="63"/>
      <c r="F39" s="63" t="n">
        <v>2.55</v>
      </c>
      <c r="G39" s="63" t="n">
        <v>10.75</v>
      </c>
      <c r="H39" s="63" t="n">
        <v>7.25</v>
      </c>
      <c r="I39" s="63" t="n">
        <v>6.07</v>
      </c>
      <c r="J39" s="63" t="n">
        <v>5.2</v>
      </c>
      <c r="K39" s="63" t="n">
        <v>9.5</v>
      </c>
      <c r="L39" s="63" t="n">
        <v>2.5</v>
      </c>
      <c r="M39" s="63" t="n">
        <v>0.65</v>
      </c>
      <c r="N39" s="63" t="n">
        <v>5.35</v>
      </c>
      <c r="O39" s="2"/>
    </row>
    <row r="40" customFormat="false" ht="15" hidden="false" customHeight="false" outlineLevel="0" collapsed="false">
      <c r="A40" s="2" t="s">
        <v>34</v>
      </c>
      <c r="B40" s="2" t="s">
        <v>633</v>
      </c>
      <c r="C40" s="63"/>
      <c r="D40" s="63" t="n">
        <v>27.5</v>
      </c>
      <c r="E40" s="63" t="n">
        <v>5</v>
      </c>
      <c r="F40" s="63" t="n">
        <v>6.75</v>
      </c>
      <c r="G40" s="63" t="n">
        <v>4</v>
      </c>
      <c r="H40" s="63" t="n">
        <v>4.25</v>
      </c>
      <c r="I40" s="63" t="n">
        <v>1.25</v>
      </c>
      <c r="J40" s="63" t="n">
        <v>2</v>
      </c>
      <c r="K40" s="64" t="n">
        <v>1</v>
      </c>
      <c r="L40" s="64" t="n">
        <v>0.7</v>
      </c>
      <c r="M40" s="64" t="n">
        <v>1.1</v>
      </c>
      <c r="N40" s="64" t="n">
        <v>1.5</v>
      </c>
      <c r="O40" s="2" t="s">
        <v>240</v>
      </c>
    </row>
    <row r="41" customFormat="false" ht="15" hidden="false" customHeight="false" outlineLevel="0" collapsed="false">
      <c r="A41" s="2"/>
      <c r="B41" s="2" t="s">
        <v>634</v>
      </c>
      <c r="C41" s="63"/>
      <c r="D41" s="63" t="n">
        <v>1.5</v>
      </c>
      <c r="E41" s="63"/>
      <c r="F41" s="63" t="n">
        <v>0.5</v>
      </c>
      <c r="G41" s="63"/>
      <c r="H41" s="63" t="n">
        <v>0.5</v>
      </c>
      <c r="I41" s="63" t="n">
        <v>0.5</v>
      </c>
      <c r="J41" s="63" t="n">
        <v>0.25</v>
      </c>
      <c r="K41" s="63"/>
      <c r="L41" s="63"/>
      <c r="M41" s="63"/>
      <c r="N41" s="63" t="n">
        <v>0.5</v>
      </c>
      <c r="O41" s="2"/>
    </row>
    <row r="42" customFormat="false" ht="15" hidden="false" customHeight="false" outlineLevel="0" collapsed="false">
      <c r="A42" s="2"/>
      <c r="B42" s="2" t="s">
        <v>635</v>
      </c>
      <c r="C42" s="63"/>
      <c r="D42" s="63" t="n">
        <v>19.25</v>
      </c>
      <c r="E42" s="63"/>
      <c r="F42" s="63" t="n">
        <v>2</v>
      </c>
      <c r="G42" s="63" t="n">
        <v>3</v>
      </c>
      <c r="H42" s="63" t="n">
        <v>2.75</v>
      </c>
      <c r="I42" s="63"/>
      <c r="J42" s="63" t="n">
        <v>0.5</v>
      </c>
      <c r="K42" s="63"/>
      <c r="L42" s="63"/>
      <c r="M42" s="63" t="n">
        <v>0.1</v>
      </c>
      <c r="N42" s="63" t="n">
        <v>1</v>
      </c>
      <c r="O42" s="2"/>
    </row>
    <row r="43" customFormat="false" ht="15" hidden="false" customHeight="false" outlineLevel="0" collapsed="false">
      <c r="A43" s="2" t="s">
        <v>35</v>
      </c>
      <c r="B43" s="2" t="s">
        <v>633</v>
      </c>
      <c r="C43" s="63" t="n">
        <v>33</v>
      </c>
      <c r="D43" s="63" t="n">
        <v>21.05</v>
      </c>
      <c r="E43" s="63" t="n">
        <v>21.6</v>
      </c>
      <c r="F43" s="63" t="n">
        <v>24.05</v>
      </c>
      <c r="G43" s="63" t="n">
        <v>5</v>
      </c>
      <c r="H43" s="63" t="n">
        <v>8.5</v>
      </c>
      <c r="I43" s="63" t="n">
        <v>3</v>
      </c>
      <c r="J43" s="64" t="n">
        <v>4.95</v>
      </c>
      <c r="K43" s="64" t="n">
        <v>4.6</v>
      </c>
      <c r="L43" s="64" t="n">
        <v>5.6</v>
      </c>
      <c r="M43" s="64" t="n">
        <v>16.35</v>
      </c>
      <c r="N43" s="64" t="n">
        <v>10</v>
      </c>
      <c r="O43" s="2" t="s">
        <v>305</v>
      </c>
    </row>
    <row r="44" customFormat="false" ht="15" hidden="false" customHeight="false" outlineLevel="0" collapsed="false">
      <c r="A44" s="2"/>
      <c r="B44" s="2" t="s">
        <v>634</v>
      </c>
      <c r="C44" s="63" t="n">
        <v>2</v>
      </c>
      <c r="D44" s="63" t="n">
        <v>2</v>
      </c>
      <c r="E44" s="63" t="n">
        <v>1</v>
      </c>
      <c r="F44" s="63"/>
      <c r="G44" s="63"/>
      <c r="H44" s="63" t="n">
        <v>1.5</v>
      </c>
      <c r="I44" s="63" t="n">
        <v>0.75</v>
      </c>
      <c r="J44" s="63"/>
      <c r="K44" s="63"/>
      <c r="L44" s="63"/>
      <c r="M44" s="63" t="n">
        <v>1</v>
      </c>
      <c r="N44" s="63" t="n">
        <v>1.5</v>
      </c>
      <c r="O44" s="2"/>
    </row>
    <row r="45" customFormat="false" ht="15" hidden="false" customHeight="false" outlineLevel="0" collapsed="false">
      <c r="A45" s="2"/>
      <c r="B45" s="2" t="s">
        <v>635</v>
      </c>
      <c r="C45" s="63" t="n">
        <v>13.5</v>
      </c>
      <c r="D45" s="63" t="n">
        <v>2.75</v>
      </c>
      <c r="E45" s="63" t="n">
        <v>1.5</v>
      </c>
      <c r="F45" s="63" t="n">
        <v>10.05</v>
      </c>
      <c r="G45" s="63" t="n">
        <v>1.5</v>
      </c>
      <c r="H45" s="63" t="n">
        <v>1.75</v>
      </c>
      <c r="I45" s="63"/>
      <c r="J45" s="63" t="n">
        <v>0.75</v>
      </c>
      <c r="K45" s="63"/>
      <c r="L45" s="63" t="n">
        <v>1.5</v>
      </c>
      <c r="M45" s="63" t="n">
        <v>0.85</v>
      </c>
      <c r="N45" s="63" t="n">
        <v>6.5</v>
      </c>
      <c r="O45" s="2"/>
    </row>
    <row r="46" customFormat="false" ht="15" hidden="false" customHeight="false" outlineLevel="0" collapsed="false">
      <c r="A46" s="2" t="s">
        <v>110</v>
      </c>
      <c r="B46" s="2" t="s">
        <v>633</v>
      </c>
      <c r="C46" s="63" t="n">
        <v>21.35</v>
      </c>
      <c r="D46" s="63" t="n">
        <v>24.1</v>
      </c>
      <c r="E46" s="63" t="n">
        <v>80.3</v>
      </c>
      <c r="F46" s="63" t="n">
        <v>45.85</v>
      </c>
      <c r="G46" s="63"/>
      <c r="H46" s="63"/>
      <c r="I46" s="63"/>
      <c r="J46" s="63"/>
      <c r="K46" s="63"/>
      <c r="L46" s="63"/>
      <c r="M46" s="63"/>
      <c r="N46" s="63"/>
      <c r="O46" s="2" t="s">
        <v>256</v>
      </c>
    </row>
    <row r="47" customFormat="false" ht="15" hidden="false" customHeight="false" outlineLevel="0" collapsed="false">
      <c r="A47" s="2"/>
      <c r="B47" s="2" t="s">
        <v>634</v>
      </c>
      <c r="C47" s="63" t="n">
        <v>1.5</v>
      </c>
      <c r="D47" s="63"/>
      <c r="E47" s="63" t="n">
        <v>0.25</v>
      </c>
      <c r="F47" s="63"/>
      <c r="G47" s="63"/>
      <c r="H47" s="63"/>
      <c r="I47" s="63"/>
      <c r="J47" s="63"/>
      <c r="K47" s="63"/>
      <c r="L47" s="63"/>
      <c r="M47" s="63"/>
      <c r="N47" s="63"/>
      <c r="O47" s="2"/>
    </row>
    <row r="48" customFormat="false" ht="15" hidden="false" customHeight="false" outlineLevel="0" collapsed="false">
      <c r="A48" s="2"/>
      <c r="B48" s="2" t="s">
        <v>635</v>
      </c>
      <c r="C48" s="63" t="n">
        <v>1.25</v>
      </c>
      <c r="D48" s="63" t="n">
        <v>2</v>
      </c>
      <c r="E48" s="63" t="n">
        <v>22.85</v>
      </c>
      <c r="F48" s="63" t="n">
        <v>18.5</v>
      </c>
      <c r="G48" s="63"/>
      <c r="H48" s="63"/>
      <c r="I48" s="63"/>
      <c r="J48" s="63"/>
      <c r="K48" s="63"/>
      <c r="L48" s="63"/>
      <c r="M48" s="63"/>
      <c r="N48" s="63"/>
      <c r="O48" s="2"/>
    </row>
    <row r="49" customFormat="false" ht="15" hidden="false" customHeight="false" outlineLevel="0" collapsed="false">
      <c r="A49" s="2" t="s">
        <v>36</v>
      </c>
      <c r="B49" s="2" t="s">
        <v>633</v>
      </c>
      <c r="C49" s="63"/>
      <c r="D49" s="63"/>
      <c r="E49" s="63"/>
      <c r="F49" s="63"/>
      <c r="G49" s="63"/>
      <c r="H49" s="63" t="n">
        <v>0.75</v>
      </c>
      <c r="I49" s="64" t="n">
        <v>15.64</v>
      </c>
      <c r="J49" s="64" t="n">
        <v>14.2</v>
      </c>
      <c r="K49" s="64" t="n">
        <v>4</v>
      </c>
      <c r="L49" s="64" t="n">
        <v>15</v>
      </c>
      <c r="M49" s="64" t="n">
        <v>7.25</v>
      </c>
      <c r="N49" s="64" t="n">
        <v>12.2</v>
      </c>
      <c r="O49" s="2" t="s">
        <v>295</v>
      </c>
    </row>
    <row r="50" customFormat="false" ht="15" hidden="false" customHeight="false" outlineLevel="0" collapsed="false">
      <c r="A50" s="2"/>
      <c r="B50" s="2" t="s">
        <v>634</v>
      </c>
      <c r="C50" s="63"/>
      <c r="D50" s="63"/>
      <c r="E50" s="63"/>
      <c r="F50" s="63"/>
      <c r="G50" s="63"/>
      <c r="H50" s="63"/>
      <c r="I50" s="63" t="n">
        <v>3.5</v>
      </c>
      <c r="J50" s="63" t="n">
        <v>4.5</v>
      </c>
      <c r="K50" s="63"/>
      <c r="L50" s="63"/>
      <c r="M50" s="63"/>
      <c r="N50" s="63"/>
      <c r="O50" s="2"/>
    </row>
    <row r="51" customFormat="false" ht="15" hidden="false" customHeight="false" outlineLevel="0" collapsed="false">
      <c r="A51" s="2"/>
      <c r="B51" s="2" t="s">
        <v>635</v>
      </c>
      <c r="C51" s="63"/>
      <c r="D51" s="63"/>
      <c r="E51" s="63"/>
      <c r="F51" s="63"/>
      <c r="G51" s="63"/>
      <c r="H51" s="63" t="n">
        <v>0.75</v>
      </c>
      <c r="I51" s="63" t="n">
        <v>5.63</v>
      </c>
      <c r="J51" s="63" t="n">
        <v>3.75</v>
      </c>
      <c r="K51" s="63" t="n">
        <v>1.5</v>
      </c>
      <c r="L51" s="63" t="n">
        <v>12</v>
      </c>
      <c r="M51" s="63" t="n">
        <v>6</v>
      </c>
      <c r="N51" s="63" t="n">
        <v>8.7</v>
      </c>
      <c r="O51" s="2"/>
    </row>
    <row r="52" customFormat="false" ht="15" hidden="false" customHeight="false" outlineLevel="0" collapsed="false">
      <c r="A52" s="2" t="s">
        <v>37</v>
      </c>
      <c r="B52" s="2" t="s">
        <v>633</v>
      </c>
      <c r="C52" s="63" t="n">
        <v>12.4</v>
      </c>
      <c r="D52" s="63" t="n">
        <v>10.65</v>
      </c>
      <c r="E52" s="63" t="n">
        <v>13.7</v>
      </c>
      <c r="F52" s="63" t="n">
        <v>16.05</v>
      </c>
      <c r="G52" s="63" t="n">
        <v>16.05</v>
      </c>
      <c r="H52" s="64" t="n">
        <v>13.1</v>
      </c>
      <c r="I52" s="64" t="n">
        <v>13.61</v>
      </c>
      <c r="J52" s="64" t="n">
        <v>8.9</v>
      </c>
      <c r="K52" s="64" t="n">
        <v>11.15</v>
      </c>
      <c r="L52" s="64" t="n">
        <v>18.35</v>
      </c>
      <c r="M52" s="63" t="n">
        <v>29.75</v>
      </c>
      <c r="N52" s="63" t="n">
        <v>34.25</v>
      </c>
      <c r="O52" s="2" t="s">
        <v>313</v>
      </c>
    </row>
    <row r="53" customFormat="false" ht="15" hidden="false" customHeight="false" outlineLevel="0" collapsed="false">
      <c r="A53" s="2"/>
      <c r="B53" s="2" t="s">
        <v>634</v>
      </c>
      <c r="C53" s="63"/>
      <c r="D53" s="63" t="n">
        <v>2</v>
      </c>
      <c r="E53" s="63"/>
      <c r="F53" s="63" t="n">
        <v>0.75</v>
      </c>
      <c r="G53" s="63" t="n">
        <v>0.7</v>
      </c>
      <c r="H53" s="63" t="n">
        <v>1.5</v>
      </c>
      <c r="I53" s="63" t="n">
        <v>3.7</v>
      </c>
      <c r="J53" s="63" t="n">
        <v>1.75</v>
      </c>
      <c r="K53" s="63" t="n">
        <v>1.5</v>
      </c>
      <c r="L53" s="63" t="n">
        <v>1.25</v>
      </c>
      <c r="M53" s="63"/>
      <c r="N53" s="63"/>
      <c r="O53" s="2"/>
    </row>
    <row r="54" customFormat="false" ht="15" hidden="false" customHeight="false" outlineLevel="0" collapsed="false">
      <c r="A54" s="2"/>
      <c r="B54" s="2" t="s">
        <v>635</v>
      </c>
      <c r="C54" s="63" t="n">
        <v>2.25</v>
      </c>
      <c r="D54" s="63" t="n">
        <v>3.75</v>
      </c>
      <c r="E54" s="63" t="n">
        <v>8.7</v>
      </c>
      <c r="F54" s="63" t="n">
        <v>7.3</v>
      </c>
      <c r="G54" s="63" t="n">
        <v>3.2</v>
      </c>
      <c r="H54" s="63" t="n">
        <v>4.25</v>
      </c>
      <c r="I54" s="63" t="n">
        <v>2.96</v>
      </c>
      <c r="J54" s="63" t="n">
        <v>1.7</v>
      </c>
      <c r="K54" s="63" t="n">
        <v>2.65</v>
      </c>
      <c r="L54" s="63" t="n">
        <v>4.35</v>
      </c>
      <c r="M54" s="63" t="n">
        <v>8.75</v>
      </c>
      <c r="N54" s="63" t="n">
        <v>9.25</v>
      </c>
      <c r="O54" s="2"/>
    </row>
    <row r="55" customFormat="false" ht="15" hidden="false" customHeight="false" outlineLevel="0" collapsed="false">
      <c r="A55" s="2" t="s">
        <v>38</v>
      </c>
      <c r="B55" s="2" t="s">
        <v>633</v>
      </c>
      <c r="C55" s="63" t="n">
        <v>8</v>
      </c>
      <c r="D55" s="63" t="n">
        <v>4.45</v>
      </c>
      <c r="E55" s="63" t="n">
        <v>3.1</v>
      </c>
      <c r="F55" s="63" t="n">
        <v>3.55</v>
      </c>
      <c r="G55" s="63" t="n">
        <v>2.2</v>
      </c>
      <c r="H55" s="63" t="n">
        <v>3.1</v>
      </c>
      <c r="I55" s="64" t="n">
        <v>3.6</v>
      </c>
      <c r="J55" s="64" t="n">
        <v>4.95</v>
      </c>
      <c r="K55" s="64" t="n">
        <v>6.5</v>
      </c>
      <c r="L55" s="64" t="n">
        <v>7.7</v>
      </c>
      <c r="M55" s="64" t="n">
        <v>2.25</v>
      </c>
      <c r="N55" s="64" t="n">
        <v>17.6</v>
      </c>
      <c r="O55" s="2" t="s">
        <v>295</v>
      </c>
    </row>
    <row r="56" customFormat="false" ht="15" hidden="false" customHeight="false" outlineLevel="0" collapsed="false">
      <c r="A56" s="2"/>
      <c r="B56" s="2" t="s">
        <v>634</v>
      </c>
      <c r="C56" s="63" t="n">
        <v>2.5</v>
      </c>
      <c r="D56" s="63" t="n">
        <v>0.7</v>
      </c>
      <c r="E56" s="63" t="n">
        <v>0.7</v>
      </c>
      <c r="F56" s="63" t="n">
        <v>0.7</v>
      </c>
      <c r="G56" s="63" t="n">
        <v>0.7</v>
      </c>
      <c r="H56" s="63" t="n">
        <v>1</v>
      </c>
      <c r="I56" s="63" t="n">
        <v>0.7</v>
      </c>
      <c r="J56" s="63"/>
      <c r="K56" s="63" t="n">
        <v>1</v>
      </c>
      <c r="L56" s="63" t="n">
        <v>0.7</v>
      </c>
      <c r="M56" s="63"/>
      <c r="N56" s="63"/>
      <c r="O56" s="2"/>
    </row>
    <row r="57" customFormat="false" ht="15" hidden="false" customHeight="false" outlineLevel="0" collapsed="false">
      <c r="A57" s="2"/>
      <c r="B57" s="2" t="s">
        <v>635</v>
      </c>
      <c r="C57" s="63" t="n">
        <v>3.25</v>
      </c>
      <c r="D57" s="63" t="n">
        <v>0.5</v>
      </c>
      <c r="E57" s="63" t="n">
        <v>0.15</v>
      </c>
      <c r="F57" s="63" t="n">
        <v>0.2</v>
      </c>
      <c r="G57" s="63" t="n">
        <v>1.25</v>
      </c>
      <c r="H57" s="63" t="n">
        <v>0.25</v>
      </c>
      <c r="I57" s="63" t="n">
        <v>1.2</v>
      </c>
      <c r="J57" s="63"/>
      <c r="K57" s="63" t="n">
        <v>1.25</v>
      </c>
      <c r="L57" s="63"/>
      <c r="M57" s="63"/>
      <c r="N57" s="63" t="n">
        <v>1.44</v>
      </c>
      <c r="O57" s="2"/>
    </row>
    <row r="58" customFormat="false" ht="15" hidden="false" customHeight="false" outlineLevel="0" collapsed="false">
      <c r="A58" s="2" t="s">
        <v>39</v>
      </c>
      <c r="B58" s="2" t="s">
        <v>633</v>
      </c>
      <c r="C58" s="63"/>
      <c r="D58" s="63"/>
      <c r="E58" s="63" t="n">
        <v>0.9</v>
      </c>
      <c r="F58" s="63" t="n">
        <v>1.35</v>
      </c>
      <c r="G58" s="63" t="n">
        <v>0.95</v>
      </c>
      <c r="H58" s="63" t="n">
        <v>0.8</v>
      </c>
      <c r="I58" s="64" t="n">
        <v>1.28</v>
      </c>
      <c r="J58" s="64" t="n">
        <v>0.94</v>
      </c>
      <c r="K58" s="64" t="n">
        <v>1.5</v>
      </c>
      <c r="L58" s="64" t="n">
        <v>1</v>
      </c>
      <c r="M58" s="64" t="n">
        <v>0.75</v>
      </c>
      <c r="N58" s="64" t="n">
        <v>1</v>
      </c>
      <c r="O58" s="2" t="s">
        <v>271</v>
      </c>
    </row>
    <row r="59" customFormat="false" ht="15" hidden="false" customHeight="false" outlineLevel="0" collapsed="false">
      <c r="A59" s="2"/>
      <c r="B59" s="2" t="s">
        <v>634</v>
      </c>
      <c r="C59" s="63"/>
      <c r="D59" s="63"/>
      <c r="E59" s="63"/>
      <c r="F59" s="63"/>
      <c r="G59" s="63" t="n">
        <v>0.7</v>
      </c>
      <c r="H59" s="63" t="n">
        <v>0.5</v>
      </c>
      <c r="I59" s="63" t="n">
        <v>0.7</v>
      </c>
      <c r="J59" s="63" t="n">
        <v>0.4</v>
      </c>
      <c r="K59" s="63" t="n">
        <v>0.5</v>
      </c>
      <c r="L59" s="63" t="n">
        <v>0.25</v>
      </c>
      <c r="M59" s="63" t="n">
        <v>0.25</v>
      </c>
      <c r="N59" s="63" t="n">
        <v>0.25</v>
      </c>
      <c r="O59" s="2"/>
    </row>
    <row r="60" customFormat="false" ht="15" hidden="false" customHeight="false" outlineLevel="0" collapsed="false">
      <c r="A60" s="2"/>
      <c r="B60" s="2" t="s">
        <v>635</v>
      </c>
      <c r="C60" s="63"/>
      <c r="D60" s="63"/>
      <c r="E60" s="63" t="n">
        <v>0.9</v>
      </c>
      <c r="F60" s="63" t="n">
        <v>0.25</v>
      </c>
      <c r="G60" s="63"/>
      <c r="H60" s="63"/>
      <c r="I60" s="63"/>
      <c r="J60" s="63"/>
      <c r="K60" s="63"/>
      <c r="L60" s="63"/>
      <c r="M60" s="63"/>
      <c r="N60" s="63"/>
      <c r="O60" s="2"/>
    </row>
    <row r="61" customFormat="false" ht="15" hidden="false" customHeight="false" outlineLevel="0" collapsed="false">
      <c r="A61" s="2" t="s">
        <v>40</v>
      </c>
      <c r="B61" s="2" t="s">
        <v>633</v>
      </c>
      <c r="C61" s="63" t="n">
        <v>4.1</v>
      </c>
      <c r="D61" s="63" t="n">
        <v>5.7</v>
      </c>
      <c r="E61" s="63" t="n">
        <v>6.6</v>
      </c>
      <c r="F61" s="63" t="n">
        <v>3.95</v>
      </c>
      <c r="G61" s="63" t="n">
        <v>6</v>
      </c>
      <c r="H61" s="64" t="n">
        <v>16.41</v>
      </c>
      <c r="I61" s="64" t="n">
        <v>17.61</v>
      </c>
      <c r="J61" s="64" t="n">
        <v>13.06</v>
      </c>
      <c r="K61" s="64" t="n">
        <v>6.6</v>
      </c>
      <c r="L61" s="64" t="n">
        <v>7.75</v>
      </c>
      <c r="M61" s="64" t="n">
        <v>3</v>
      </c>
      <c r="N61" s="64" t="n">
        <v>2.5</v>
      </c>
      <c r="O61" s="2" t="s">
        <v>323</v>
      </c>
    </row>
    <row r="62" customFormat="false" ht="15" hidden="false" customHeight="false" outlineLevel="0" collapsed="false">
      <c r="A62" s="2"/>
      <c r="B62" s="2" t="s">
        <v>634</v>
      </c>
      <c r="C62" s="63" t="n">
        <v>0.25</v>
      </c>
      <c r="D62" s="63"/>
      <c r="E62" s="63" t="n">
        <v>0.5</v>
      </c>
      <c r="F62" s="63"/>
      <c r="G62" s="63" t="n">
        <v>0.75</v>
      </c>
      <c r="H62" s="63" t="n">
        <v>1.4</v>
      </c>
      <c r="I62" s="63" t="n">
        <v>2.2</v>
      </c>
      <c r="J62" s="63"/>
      <c r="K62" s="63" t="n">
        <v>0.75</v>
      </c>
      <c r="L62" s="63"/>
      <c r="M62" s="63" t="n">
        <v>0.25</v>
      </c>
      <c r="N62" s="63"/>
      <c r="O62" s="2"/>
    </row>
    <row r="63" customFormat="false" ht="15" hidden="false" customHeight="false" outlineLevel="0" collapsed="false">
      <c r="A63" s="2"/>
      <c r="B63" s="2" t="s">
        <v>635</v>
      </c>
      <c r="C63" s="63"/>
      <c r="D63" s="63" t="n">
        <v>1.95</v>
      </c>
      <c r="E63" s="63" t="n">
        <v>0.85</v>
      </c>
      <c r="F63" s="63" t="n">
        <v>1.95</v>
      </c>
      <c r="G63" s="63" t="n">
        <v>4</v>
      </c>
      <c r="H63" s="63" t="n">
        <v>4.25</v>
      </c>
      <c r="I63" s="63" t="n">
        <v>3.5</v>
      </c>
      <c r="J63" s="63" t="n">
        <v>3.25</v>
      </c>
      <c r="K63" s="63" t="n">
        <v>0.35</v>
      </c>
      <c r="L63" s="63" t="n">
        <v>2</v>
      </c>
      <c r="M63" s="63" t="n">
        <v>2.75</v>
      </c>
      <c r="N63" s="63"/>
      <c r="O63" s="2"/>
    </row>
    <row r="64" customFormat="false" ht="15" hidden="false" customHeight="false" outlineLevel="0" collapsed="false">
      <c r="A64" s="2" t="s">
        <v>41</v>
      </c>
      <c r="B64" s="2" t="s">
        <v>633</v>
      </c>
      <c r="C64" s="63" t="n">
        <v>19</v>
      </c>
      <c r="D64" s="63" t="n">
        <v>12.6</v>
      </c>
      <c r="E64" s="63" t="n">
        <v>17</v>
      </c>
      <c r="F64" s="63" t="n">
        <v>22.25</v>
      </c>
      <c r="G64" s="63" t="n">
        <v>22.45</v>
      </c>
      <c r="H64" s="63" t="n">
        <v>41.1</v>
      </c>
      <c r="I64" s="64" t="n">
        <v>21.75</v>
      </c>
      <c r="J64" s="64" t="n">
        <v>13.5</v>
      </c>
      <c r="K64" s="64" t="n">
        <v>7.75</v>
      </c>
      <c r="L64" s="64" t="n">
        <v>1.25</v>
      </c>
      <c r="M64" s="64" t="n">
        <v>8.5</v>
      </c>
      <c r="N64" s="64" t="n">
        <v>7.25</v>
      </c>
      <c r="O64" s="2" t="s">
        <v>295</v>
      </c>
    </row>
    <row r="65" customFormat="false" ht="15" hidden="false" customHeight="false" outlineLevel="0" collapsed="false">
      <c r="A65" s="2"/>
      <c r="B65" s="2" t="s">
        <v>634</v>
      </c>
      <c r="C65" s="63" t="n">
        <v>5.25</v>
      </c>
      <c r="D65" s="63" t="n">
        <v>0.75</v>
      </c>
      <c r="E65" s="63" t="n">
        <v>1.5</v>
      </c>
      <c r="F65" s="63" t="n">
        <v>2.5</v>
      </c>
      <c r="G65" s="63" t="n">
        <v>3.65</v>
      </c>
      <c r="H65" s="63" t="n">
        <v>3.85</v>
      </c>
      <c r="I65" s="63" t="n">
        <v>1.25</v>
      </c>
      <c r="J65" s="63"/>
      <c r="K65" s="63" t="n">
        <v>2.5</v>
      </c>
      <c r="L65" s="63"/>
      <c r="M65" s="63"/>
      <c r="N65" s="63" t="n">
        <v>4</v>
      </c>
      <c r="O65" s="2"/>
    </row>
    <row r="66" customFormat="false" ht="15" hidden="false" customHeight="false" outlineLevel="0" collapsed="false">
      <c r="A66" s="2"/>
      <c r="B66" s="2" t="s">
        <v>635</v>
      </c>
      <c r="C66" s="63"/>
      <c r="D66" s="63"/>
      <c r="E66" s="63"/>
      <c r="F66" s="63"/>
      <c r="G66" s="63" t="n">
        <v>10.1</v>
      </c>
      <c r="H66" s="63" t="n">
        <v>2</v>
      </c>
      <c r="I66" s="63"/>
      <c r="J66" s="63"/>
      <c r="K66" s="63"/>
      <c r="L66" s="63"/>
      <c r="M66" s="63" t="n">
        <v>1.75</v>
      </c>
      <c r="N66" s="63" t="n">
        <v>1.25</v>
      </c>
      <c r="O66" s="2"/>
    </row>
    <row r="67" customFormat="false" ht="15" hidden="false" customHeight="false" outlineLevel="0" collapsed="false">
      <c r="A67" s="2" t="s">
        <v>43</v>
      </c>
      <c r="B67" s="2" t="s">
        <v>633</v>
      </c>
      <c r="C67" s="63"/>
      <c r="D67" s="63" t="n">
        <v>0.25</v>
      </c>
      <c r="E67" s="63"/>
      <c r="F67" s="63" t="n">
        <v>1.55</v>
      </c>
      <c r="G67" s="63" t="n">
        <v>79.75</v>
      </c>
      <c r="H67" s="63" t="n">
        <v>127</v>
      </c>
      <c r="I67" s="63" t="n">
        <v>76</v>
      </c>
      <c r="J67" s="63" t="n">
        <v>19.55</v>
      </c>
      <c r="K67" s="64" t="n">
        <v>54.25</v>
      </c>
      <c r="L67" s="64" t="n">
        <v>46</v>
      </c>
      <c r="M67" s="64" t="n">
        <v>36.25</v>
      </c>
      <c r="N67" s="63" t="n">
        <v>10.25</v>
      </c>
      <c r="O67" s="2" t="s">
        <v>338</v>
      </c>
    </row>
    <row r="68" customFormat="false" ht="15" hidden="false" customHeight="false" outlineLevel="0" collapsed="false">
      <c r="A68" s="2"/>
      <c r="B68" s="2" t="s">
        <v>634</v>
      </c>
      <c r="C68" s="63"/>
      <c r="D68" s="63"/>
      <c r="E68" s="63"/>
      <c r="F68" s="63"/>
      <c r="G68" s="63" t="n">
        <v>7.25</v>
      </c>
      <c r="H68" s="63"/>
      <c r="I68" s="63" t="n">
        <v>13.5</v>
      </c>
      <c r="J68" s="63" t="n">
        <v>5.2</v>
      </c>
      <c r="K68" s="63" t="n">
        <v>9.5</v>
      </c>
      <c r="L68" s="63" t="n">
        <v>1.5</v>
      </c>
      <c r="M68" s="63" t="n">
        <v>4</v>
      </c>
      <c r="N68" s="63" t="n">
        <v>1.5</v>
      </c>
      <c r="O68" s="2"/>
    </row>
    <row r="69" customFormat="false" ht="15" hidden="false" customHeight="false" outlineLevel="0" collapsed="false">
      <c r="A69" s="2"/>
      <c r="B69" s="2" t="s">
        <v>635</v>
      </c>
      <c r="C69" s="63"/>
      <c r="D69" s="63"/>
      <c r="E69" s="63"/>
      <c r="F69" s="63" t="n">
        <v>1.3</v>
      </c>
      <c r="G69" s="63" t="n">
        <v>13.55</v>
      </c>
      <c r="H69" s="63" t="n">
        <v>59.25</v>
      </c>
      <c r="I69" s="63" t="n">
        <v>6.25</v>
      </c>
      <c r="J69" s="63" t="n">
        <v>5.75</v>
      </c>
      <c r="K69" s="63" t="n">
        <v>11.75</v>
      </c>
      <c r="L69" s="63" t="n">
        <v>16.75</v>
      </c>
      <c r="M69" s="63" t="n">
        <v>1.25</v>
      </c>
      <c r="N69" s="63" t="n">
        <v>0.5</v>
      </c>
      <c r="O69" s="2"/>
    </row>
    <row r="70" customFormat="false" ht="15" hidden="false" customHeight="false" outlineLevel="0" collapsed="false">
      <c r="A70" s="2" t="s">
        <v>45</v>
      </c>
      <c r="B70" s="2" t="s">
        <v>633</v>
      </c>
      <c r="C70" s="63"/>
      <c r="D70" s="63"/>
      <c r="E70" s="63"/>
      <c r="F70" s="63"/>
      <c r="G70" s="63" t="n">
        <v>1.75</v>
      </c>
      <c r="H70" s="63" t="n">
        <v>0.75</v>
      </c>
      <c r="I70" s="63" t="n">
        <v>2.38</v>
      </c>
      <c r="J70" s="64"/>
      <c r="K70" s="64"/>
      <c r="L70" s="64"/>
      <c r="M70" s="64" t="n">
        <v>6.5</v>
      </c>
      <c r="N70" s="64" t="n">
        <v>2.75</v>
      </c>
      <c r="O70" s="2" t="s">
        <v>305</v>
      </c>
    </row>
    <row r="71" customFormat="false" ht="15" hidden="false" customHeight="false" outlineLevel="0" collapsed="false">
      <c r="A71" s="2"/>
      <c r="B71" s="2" t="s">
        <v>634</v>
      </c>
      <c r="C71" s="63"/>
      <c r="D71" s="63"/>
      <c r="E71" s="63"/>
      <c r="F71" s="63"/>
      <c r="G71" s="63"/>
      <c r="H71" s="63"/>
      <c r="I71" s="63" t="n">
        <v>1</v>
      </c>
      <c r="J71" s="63"/>
      <c r="K71" s="63"/>
      <c r="L71" s="63"/>
      <c r="M71" s="63"/>
      <c r="N71" s="63"/>
      <c r="O71" s="2"/>
    </row>
    <row r="72" customFormat="false" ht="15" hidden="false" customHeight="false" outlineLevel="0" collapsed="false">
      <c r="A72" s="2"/>
      <c r="B72" s="2" t="s">
        <v>635</v>
      </c>
      <c r="C72" s="63"/>
      <c r="D72" s="63"/>
      <c r="E72" s="63"/>
      <c r="F72" s="63"/>
      <c r="G72" s="63" t="n">
        <v>1.75</v>
      </c>
      <c r="H72" s="63" t="n">
        <v>0.75</v>
      </c>
      <c r="I72" s="63" t="n">
        <v>0.13</v>
      </c>
      <c r="J72" s="63"/>
      <c r="K72" s="63"/>
      <c r="L72" s="63"/>
      <c r="M72" s="63" t="n">
        <v>6.5</v>
      </c>
      <c r="N72" s="63" t="n">
        <v>2</v>
      </c>
      <c r="O72" s="2"/>
    </row>
    <row r="73" customFormat="false" ht="15" hidden="false" customHeight="false" outlineLevel="0" collapsed="false">
      <c r="A73" s="2" t="s">
        <v>636</v>
      </c>
      <c r="B73" s="2" t="s">
        <v>633</v>
      </c>
      <c r="C73" s="63"/>
      <c r="D73" s="63"/>
      <c r="E73" s="63"/>
      <c r="F73" s="63"/>
      <c r="G73" s="63"/>
      <c r="H73" s="63" t="n">
        <v>7.8</v>
      </c>
      <c r="I73" s="63" t="n">
        <v>2.65</v>
      </c>
      <c r="J73" s="63" t="n">
        <v>8</v>
      </c>
      <c r="K73" s="63" t="n">
        <v>4.1</v>
      </c>
      <c r="L73" s="64" t="n">
        <v>2.5</v>
      </c>
      <c r="M73" s="64" t="n">
        <v>1.8</v>
      </c>
      <c r="N73" s="64"/>
      <c r="O73" s="2" t="s">
        <v>258</v>
      </c>
    </row>
    <row r="74" customFormat="false" ht="15" hidden="false" customHeight="false" outlineLevel="0" collapsed="false">
      <c r="A74" s="2"/>
      <c r="B74" s="2" t="s">
        <v>634</v>
      </c>
      <c r="C74" s="63"/>
      <c r="D74" s="63"/>
      <c r="E74" s="63"/>
      <c r="F74" s="63"/>
      <c r="G74" s="63"/>
      <c r="H74" s="63"/>
      <c r="I74" s="63"/>
      <c r="J74" s="63" t="n">
        <v>0.5</v>
      </c>
      <c r="K74" s="63"/>
      <c r="L74" s="63"/>
      <c r="M74" s="63" t="n">
        <v>0.3</v>
      </c>
      <c r="N74" s="63"/>
      <c r="O74" s="2"/>
    </row>
    <row r="75" customFormat="false" ht="15" hidden="false" customHeight="false" outlineLevel="0" collapsed="false">
      <c r="A75" s="2"/>
      <c r="B75" s="2" t="s">
        <v>635</v>
      </c>
      <c r="C75" s="63"/>
      <c r="D75" s="63"/>
      <c r="E75" s="63"/>
      <c r="F75" s="63"/>
      <c r="G75" s="63"/>
      <c r="H75" s="63" t="n">
        <v>1.5</v>
      </c>
      <c r="I75" s="63" t="n">
        <v>2</v>
      </c>
      <c r="J75" s="63" t="n">
        <v>4.25</v>
      </c>
      <c r="K75" s="63" t="n">
        <v>2.7</v>
      </c>
      <c r="L75" s="63" t="n">
        <v>2.5</v>
      </c>
      <c r="M75" s="63" t="n">
        <v>1.5</v>
      </c>
      <c r="N75" s="63"/>
      <c r="O75" s="2"/>
    </row>
    <row r="76" customFormat="false" ht="15" hidden="false" customHeight="false" outlineLevel="0" collapsed="false">
      <c r="A76" s="2" t="s">
        <v>46</v>
      </c>
      <c r="B76" s="2" t="s">
        <v>633</v>
      </c>
      <c r="C76" s="63" t="n">
        <v>1.75</v>
      </c>
      <c r="D76" s="63" t="n">
        <v>1.85</v>
      </c>
      <c r="E76" s="63" t="n">
        <v>2.55</v>
      </c>
      <c r="F76" s="63" t="n">
        <v>4.8</v>
      </c>
      <c r="G76" s="63" t="n">
        <v>2</v>
      </c>
      <c r="H76" s="63" t="n">
        <v>3.3</v>
      </c>
      <c r="I76" s="64" t="n">
        <v>1.25</v>
      </c>
      <c r="J76" s="64" t="n">
        <v>19.25</v>
      </c>
      <c r="K76" s="64" t="n">
        <v>2.75</v>
      </c>
      <c r="L76" s="64" t="n">
        <v>14.75</v>
      </c>
      <c r="M76" s="64" t="n">
        <v>4.25</v>
      </c>
      <c r="N76" s="64" t="n">
        <v>5.25</v>
      </c>
      <c r="O76" s="2" t="s">
        <v>246</v>
      </c>
    </row>
    <row r="77" customFormat="false" ht="15" hidden="false" customHeight="false" outlineLevel="0" collapsed="false">
      <c r="A77" s="2"/>
      <c r="B77" s="2" t="s">
        <v>634</v>
      </c>
      <c r="C77" s="63"/>
      <c r="D77" s="63"/>
      <c r="E77" s="63"/>
      <c r="F77" s="63"/>
      <c r="G77" s="63"/>
      <c r="H77" s="63"/>
      <c r="I77" s="63"/>
      <c r="J77" s="63"/>
      <c r="K77" s="63"/>
      <c r="L77" s="63"/>
      <c r="M77" s="63"/>
      <c r="N77" s="63"/>
      <c r="O77" s="2"/>
    </row>
    <row r="78" customFormat="false" ht="15" hidden="false" customHeight="false" outlineLevel="0" collapsed="false">
      <c r="A78" s="2"/>
      <c r="B78" s="2" t="s">
        <v>635</v>
      </c>
      <c r="C78" s="63" t="n">
        <v>0.75</v>
      </c>
      <c r="D78" s="63"/>
      <c r="E78" s="63" t="n">
        <v>0.95</v>
      </c>
      <c r="F78" s="63" t="n">
        <v>3.85</v>
      </c>
      <c r="G78" s="63" t="n">
        <v>0.35</v>
      </c>
      <c r="H78" s="63" t="n">
        <v>2.8</v>
      </c>
      <c r="I78" s="63" t="n">
        <v>1.25</v>
      </c>
      <c r="J78" s="63"/>
      <c r="K78" s="63"/>
      <c r="L78" s="63" t="n">
        <v>5.5</v>
      </c>
      <c r="M78" s="63" t="n">
        <v>2</v>
      </c>
      <c r="N78" s="63" t="n">
        <v>1</v>
      </c>
      <c r="O78" s="2"/>
    </row>
    <row r="79" customFormat="false" ht="15" hidden="false" customHeight="false" outlineLevel="0" collapsed="false">
      <c r="A79" s="2" t="s">
        <v>213</v>
      </c>
      <c r="B79" s="2" t="s">
        <v>633</v>
      </c>
      <c r="C79" s="63" t="n">
        <v>46.85</v>
      </c>
      <c r="D79" s="63" t="n">
        <v>79.75</v>
      </c>
      <c r="E79" s="63" t="n">
        <v>104.6</v>
      </c>
      <c r="F79" s="63" t="n">
        <v>98.7</v>
      </c>
      <c r="G79" s="63" t="n">
        <v>120.3</v>
      </c>
      <c r="H79" s="63" t="n">
        <v>119.55</v>
      </c>
      <c r="I79" s="63" t="n">
        <v>102.4</v>
      </c>
      <c r="J79" s="63" t="n">
        <v>203.96</v>
      </c>
      <c r="K79" s="63" t="n">
        <v>282.51</v>
      </c>
      <c r="L79" s="63" t="n">
        <v>216.78</v>
      </c>
      <c r="M79" s="63" t="n">
        <v>139.54</v>
      </c>
      <c r="N79" s="63" t="n">
        <v>10.9</v>
      </c>
      <c r="O79" s="2" t="s">
        <v>329</v>
      </c>
    </row>
    <row r="80" customFormat="false" ht="15" hidden="false" customHeight="false" outlineLevel="0" collapsed="false">
      <c r="A80" s="2"/>
      <c r="B80" s="2" t="s">
        <v>634</v>
      </c>
      <c r="C80" s="63" t="n">
        <v>2.75</v>
      </c>
      <c r="D80" s="63" t="n">
        <v>9.25</v>
      </c>
      <c r="E80" s="63" t="n">
        <v>6</v>
      </c>
      <c r="F80" s="63" t="n">
        <v>9</v>
      </c>
      <c r="G80" s="63" t="n">
        <v>19.85</v>
      </c>
      <c r="H80" s="63" t="n">
        <v>17.25</v>
      </c>
      <c r="I80" s="63" t="n">
        <v>27.25</v>
      </c>
      <c r="J80" s="63" t="n">
        <v>22.25</v>
      </c>
      <c r="K80" s="63" t="n">
        <v>18.6</v>
      </c>
      <c r="L80" s="63" t="n">
        <v>23.95</v>
      </c>
      <c r="M80" s="63" t="n">
        <v>14.5</v>
      </c>
      <c r="N80" s="63" t="n">
        <v>0.5</v>
      </c>
      <c r="O80" s="2"/>
    </row>
    <row r="81" customFormat="false" ht="15" hidden="false" customHeight="false" outlineLevel="0" collapsed="false">
      <c r="A81" s="2"/>
      <c r="B81" s="2" t="s">
        <v>635</v>
      </c>
      <c r="C81" s="63" t="n">
        <v>14.65</v>
      </c>
      <c r="D81" s="63" t="n">
        <v>9.35</v>
      </c>
      <c r="E81" s="63" t="n">
        <v>12.55</v>
      </c>
      <c r="F81" s="63" t="n">
        <v>27.8</v>
      </c>
      <c r="G81" s="63" t="n">
        <v>28.55</v>
      </c>
      <c r="H81" s="63" t="n">
        <v>33.25</v>
      </c>
      <c r="I81" s="63" t="n">
        <v>6.13</v>
      </c>
      <c r="J81" s="63" t="n">
        <v>63.95</v>
      </c>
      <c r="K81" s="63" t="n">
        <v>34.02</v>
      </c>
      <c r="L81" s="63" t="n">
        <v>50.49</v>
      </c>
      <c r="M81" s="63" t="n">
        <v>50.96</v>
      </c>
      <c r="N81" s="63" t="n">
        <v>3.45</v>
      </c>
      <c r="O81" s="2"/>
    </row>
    <row r="82" customFormat="false" ht="15" hidden="false" customHeight="false" outlineLevel="0" collapsed="false">
      <c r="A82" s="2" t="s">
        <v>47</v>
      </c>
      <c r="B82" s="2" t="s">
        <v>633</v>
      </c>
      <c r="C82" s="63" t="n">
        <v>0.6</v>
      </c>
      <c r="D82" s="63" t="n">
        <v>0.25</v>
      </c>
      <c r="E82" s="63" t="n">
        <v>0.8</v>
      </c>
      <c r="F82" s="63" t="n">
        <v>1.15</v>
      </c>
      <c r="G82" s="63" t="n">
        <v>0.8</v>
      </c>
      <c r="H82" s="63" t="n">
        <v>0.8</v>
      </c>
      <c r="I82" s="64" t="n">
        <v>0.93</v>
      </c>
      <c r="J82" s="64" t="n">
        <v>0.43</v>
      </c>
      <c r="K82" s="64" t="n">
        <v>1.5</v>
      </c>
      <c r="L82" s="64" t="n">
        <v>1</v>
      </c>
      <c r="M82" s="64" t="n">
        <v>1.75</v>
      </c>
      <c r="N82" s="64" t="n">
        <v>1</v>
      </c>
      <c r="O82" s="2" t="s">
        <v>271</v>
      </c>
    </row>
    <row r="83" customFormat="false" ht="15" hidden="false" customHeight="false" outlineLevel="0" collapsed="false">
      <c r="A83" s="2"/>
      <c r="B83" s="2" t="s">
        <v>634</v>
      </c>
      <c r="C83" s="63" t="n">
        <v>0.5</v>
      </c>
      <c r="D83" s="63" t="n">
        <v>0.15</v>
      </c>
      <c r="E83" s="63" t="n">
        <v>0.7</v>
      </c>
      <c r="F83" s="63" t="n">
        <v>0.7</v>
      </c>
      <c r="G83" s="63" t="n">
        <v>0.7</v>
      </c>
      <c r="H83" s="63" t="n">
        <v>0.7</v>
      </c>
      <c r="I83" s="63" t="n">
        <v>0.7</v>
      </c>
      <c r="J83" s="63" t="n">
        <v>0.25</v>
      </c>
      <c r="K83" s="63" t="n">
        <v>0.5</v>
      </c>
      <c r="L83" s="63" t="n">
        <v>0.25</v>
      </c>
      <c r="M83" s="63" t="n">
        <v>0.25</v>
      </c>
      <c r="N83" s="63" t="n">
        <v>0.25</v>
      </c>
      <c r="O83" s="2"/>
    </row>
    <row r="84" customFormat="false" ht="15" hidden="false" customHeight="false" outlineLevel="0" collapsed="false">
      <c r="A84" s="2"/>
      <c r="B84" s="2" t="s">
        <v>635</v>
      </c>
      <c r="C84" s="63"/>
      <c r="D84" s="63"/>
      <c r="E84" s="63"/>
      <c r="F84" s="63" t="n">
        <v>0.35</v>
      </c>
      <c r="G84" s="63"/>
      <c r="H84" s="63"/>
      <c r="I84" s="63"/>
      <c r="J84" s="63"/>
      <c r="K84" s="63"/>
      <c r="L84" s="63"/>
      <c r="M84" s="63" t="n">
        <v>1</v>
      </c>
      <c r="N84" s="63"/>
      <c r="O84" s="2"/>
    </row>
    <row r="85" customFormat="false" ht="15" hidden="false" customHeight="false" outlineLevel="0" collapsed="false">
      <c r="A85" s="2" t="s">
        <v>637</v>
      </c>
      <c r="B85" s="2" t="s">
        <v>633</v>
      </c>
      <c r="C85" s="63"/>
      <c r="D85" s="63"/>
      <c r="E85" s="63"/>
      <c r="F85" s="63"/>
      <c r="G85" s="63"/>
      <c r="H85" s="63" t="n">
        <v>7.9</v>
      </c>
      <c r="I85" s="64" t="n">
        <v>7.73</v>
      </c>
      <c r="J85" s="64"/>
      <c r="K85" s="64"/>
      <c r="L85" s="64"/>
      <c r="M85" s="64"/>
      <c r="N85" s="64"/>
      <c r="O85" s="2" t="s">
        <v>295</v>
      </c>
    </row>
    <row r="86" customFormat="false" ht="15" hidden="false" customHeight="false" outlineLevel="0" collapsed="false">
      <c r="A86" s="2"/>
      <c r="B86" s="2" t="s">
        <v>634</v>
      </c>
      <c r="C86" s="63"/>
      <c r="D86" s="63"/>
      <c r="E86" s="63"/>
      <c r="F86" s="63"/>
      <c r="G86" s="63"/>
      <c r="H86" s="63" t="n">
        <v>0.7</v>
      </c>
      <c r="I86" s="63" t="n">
        <v>1</v>
      </c>
      <c r="J86" s="63"/>
      <c r="K86" s="63"/>
      <c r="L86" s="63"/>
      <c r="M86" s="63"/>
      <c r="N86" s="63"/>
      <c r="O86" s="2"/>
    </row>
    <row r="87" customFormat="false" ht="15" hidden="false" customHeight="false" outlineLevel="0" collapsed="false">
      <c r="A87" s="2"/>
      <c r="B87" s="2" t="s">
        <v>635</v>
      </c>
      <c r="C87" s="63"/>
      <c r="D87" s="63"/>
      <c r="E87" s="63"/>
      <c r="F87" s="63"/>
      <c r="G87" s="63"/>
      <c r="H87" s="63"/>
      <c r="I87" s="63"/>
      <c r="J87" s="63"/>
      <c r="K87" s="63"/>
      <c r="L87" s="63"/>
      <c r="M87" s="63"/>
      <c r="N87" s="63"/>
      <c r="O87" s="2"/>
    </row>
    <row r="88" customFormat="false" ht="15" hidden="false" customHeight="false" outlineLevel="0" collapsed="false">
      <c r="A88" s="2" t="s">
        <v>117</v>
      </c>
      <c r="B88" s="2" t="s">
        <v>633</v>
      </c>
      <c r="C88" s="63"/>
      <c r="D88" s="63"/>
      <c r="E88" s="63"/>
      <c r="F88" s="63"/>
      <c r="G88" s="63"/>
      <c r="H88" s="63"/>
      <c r="I88" s="63"/>
      <c r="J88" s="63"/>
      <c r="K88" s="63"/>
      <c r="L88" s="63"/>
      <c r="M88" s="64" t="n">
        <v>7.5</v>
      </c>
      <c r="N88" s="64" t="n">
        <v>8.9</v>
      </c>
      <c r="O88" s="2" t="s">
        <v>638</v>
      </c>
    </row>
    <row r="89" customFormat="false" ht="15" hidden="false" customHeight="false" outlineLevel="0" collapsed="false">
      <c r="A89" s="2"/>
      <c r="B89" s="2" t="s">
        <v>634</v>
      </c>
      <c r="C89" s="63"/>
      <c r="D89" s="63"/>
      <c r="E89" s="63"/>
      <c r="F89" s="63"/>
      <c r="G89" s="63"/>
      <c r="H89" s="63"/>
      <c r="I89" s="63"/>
      <c r="J89" s="63"/>
      <c r="K89" s="63"/>
      <c r="L89" s="63"/>
      <c r="M89" s="63"/>
      <c r="N89" s="63"/>
      <c r="O89" s="2"/>
    </row>
    <row r="90" customFormat="false" ht="15" hidden="false" customHeight="false" outlineLevel="0" collapsed="false">
      <c r="A90" s="2"/>
      <c r="B90" s="2" t="s">
        <v>635</v>
      </c>
      <c r="C90" s="63"/>
      <c r="D90" s="63"/>
      <c r="E90" s="63"/>
      <c r="F90" s="63"/>
      <c r="G90" s="63"/>
      <c r="H90" s="63"/>
      <c r="I90" s="63"/>
      <c r="J90" s="63"/>
      <c r="K90" s="63"/>
      <c r="L90" s="63"/>
      <c r="M90" s="63" t="n">
        <v>4.5</v>
      </c>
      <c r="N90" s="63" t="n">
        <v>5.5</v>
      </c>
      <c r="O90" s="2"/>
    </row>
    <row r="91" customFormat="false" ht="15" hidden="false" customHeight="false" outlineLevel="0" collapsed="false">
      <c r="A91" s="2" t="s">
        <v>48</v>
      </c>
      <c r="B91" s="2" t="s">
        <v>633</v>
      </c>
      <c r="C91" s="63" t="n">
        <v>2.75</v>
      </c>
      <c r="D91" s="63" t="n">
        <v>0.95</v>
      </c>
      <c r="E91" s="63" t="n">
        <v>4.15</v>
      </c>
      <c r="F91" s="63" t="n">
        <v>2.4</v>
      </c>
      <c r="G91" s="63" t="n">
        <v>1.5</v>
      </c>
      <c r="H91" s="63" t="n">
        <v>1.3</v>
      </c>
      <c r="I91" s="63" t="n">
        <v>1.83</v>
      </c>
      <c r="J91" s="64" t="n">
        <v>2.98</v>
      </c>
      <c r="K91" s="64" t="n">
        <v>3</v>
      </c>
      <c r="L91" s="64" t="n">
        <v>3.19</v>
      </c>
      <c r="M91" s="64" t="n">
        <v>4.25</v>
      </c>
      <c r="N91" s="64" t="n">
        <v>9.6</v>
      </c>
      <c r="O91" s="2" t="s">
        <v>305</v>
      </c>
    </row>
    <row r="92" customFormat="false" ht="15" hidden="false" customHeight="false" outlineLevel="0" collapsed="false">
      <c r="A92" s="2"/>
      <c r="B92" s="2" t="s">
        <v>634</v>
      </c>
      <c r="C92" s="63" t="n">
        <v>1.25</v>
      </c>
      <c r="D92" s="63" t="n">
        <v>0.5</v>
      </c>
      <c r="E92" s="63" t="n">
        <v>0.7</v>
      </c>
      <c r="F92" s="63" t="n">
        <v>0.7</v>
      </c>
      <c r="G92" s="63" t="n">
        <v>0.7</v>
      </c>
      <c r="H92" s="63" t="n">
        <v>0.5</v>
      </c>
      <c r="I92" s="63" t="n">
        <v>1</v>
      </c>
      <c r="J92" s="63" t="n">
        <v>0.7</v>
      </c>
      <c r="K92" s="63" t="n">
        <v>0.25</v>
      </c>
      <c r="L92" s="63" t="n">
        <v>0.25</v>
      </c>
      <c r="M92" s="63" t="n">
        <v>0.25</v>
      </c>
      <c r="N92" s="63" t="n">
        <v>0.25</v>
      </c>
      <c r="O92" s="2"/>
    </row>
    <row r="93" customFormat="false" ht="15" hidden="false" customHeight="false" outlineLevel="0" collapsed="false">
      <c r="A93" s="2"/>
      <c r="B93" s="2" t="s">
        <v>635</v>
      </c>
      <c r="C93" s="63"/>
      <c r="D93" s="63"/>
      <c r="E93" s="63" t="n">
        <v>0.5</v>
      </c>
      <c r="F93" s="63" t="n">
        <v>0.45</v>
      </c>
      <c r="G93" s="63"/>
      <c r="H93" s="63"/>
      <c r="I93" s="63"/>
      <c r="J93" s="63"/>
      <c r="K93" s="63"/>
      <c r="L93" s="63" t="n">
        <v>0.75</v>
      </c>
      <c r="M93" s="63"/>
      <c r="N93" s="63" t="n">
        <v>0.25</v>
      </c>
      <c r="O93" s="2"/>
    </row>
    <row r="94" customFormat="false" ht="15" hidden="false" customHeight="false" outlineLevel="0" collapsed="false">
      <c r="A94" s="2" t="s">
        <v>50</v>
      </c>
      <c r="B94" s="2" t="s">
        <v>633</v>
      </c>
      <c r="C94" s="63" t="n">
        <v>6</v>
      </c>
      <c r="D94" s="63" t="n">
        <v>22.9</v>
      </c>
      <c r="E94" s="63" t="n">
        <v>33.4</v>
      </c>
      <c r="F94" s="63" t="n">
        <v>75.35</v>
      </c>
      <c r="G94" s="63" t="n">
        <v>98.5</v>
      </c>
      <c r="H94" s="63" t="n">
        <v>66.2</v>
      </c>
      <c r="I94" s="63" t="n">
        <v>122.35</v>
      </c>
      <c r="J94" s="63" t="n">
        <v>123.85</v>
      </c>
      <c r="K94" s="63" t="n">
        <v>126.25</v>
      </c>
      <c r="L94" s="64" t="n">
        <v>66</v>
      </c>
      <c r="M94" s="64" t="n">
        <v>53.25</v>
      </c>
      <c r="N94" s="64" t="n">
        <v>44.75</v>
      </c>
      <c r="O94" s="2" t="s">
        <v>258</v>
      </c>
    </row>
    <row r="95" customFormat="false" ht="15" hidden="false" customHeight="false" outlineLevel="0" collapsed="false">
      <c r="A95" s="2"/>
      <c r="B95" s="2" t="s">
        <v>634</v>
      </c>
      <c r="C95" s="63"/>
      <c r="D95" s="63" t="n">
        <v>4.5</v>
      </c>
      <c r="E95" s="63"/>
      <c r="F95" s="63" t="n">
        <v>4.75</v>
      </c>
      <c r="G95" s="63" t="n">
        <v>11</v>
      </c>
      <c r="H95" s="63" t="n">
        <v>8</v>
      </c>
      <c r="I95" s="63" t="n">
        <v>14</v>
      </c>
      <c r="J95" s="63" t="n">
        <v>7.5</v>
      </c>
      <c r="K95" s="63" t="n">
        <v>21</v>
      </c>
      <c r="L95" s="63" t="n">
        <v>5</v>
      </c>
      <c r="M95" s="63" t="n">
        <v>2</v>
      </c>
      <c r="N95" s="63" t="n">
        <v>1.5</v>
      </c>
      <c r="O95" s="2"/>
    </row>
    <row r="96" customFormat="false" ht="15" hidden="false" customHeight="false" outlineLevel="0" collapsed="false">
      <c r="A96" s="2"/>
      <c r="B96" s="2" t="s">
        <v>635</v>
      </c>
      <c r="C96" s="63" t="n">
        <v>0.25</v>
      </c>
      <c r="D96" s="63" t="n">
        <v>5.7</v>
      </c>
      <c r="E96" s="63" t="n">
        <v>8.2</v>
      </c>
      <c r="F96" s="63" t="n">
        <v>19.1</v>
      </c>
      <c r="G96" s="63" t="n">
        <v>19.4</v>
      </c>
      <c r="H96" s="63" t="n">
        <v>34.75</v>
      </c>
      <c r="I96" s="63" t="n">
        <v>29</v>
      </c>
      <c r="J96" s="63" t="n">
        <v>45.1</v>
      </c>
      <c r="K96" s="63" t="n">
        <v>30</v>
      </c>
      <c r="L96" s="63" t="n">
        <v>15</v>
      </c>
      <c r="M96" s="63" t="n">
        <v>6.5</v>
      </c>
      <c r="N96" s="63" t="n">
        <v>6.5</v>
      </c>
      <c r="O96" s="2"/>
    </row>
    <row r="97" customFormat="false" ht="15" hidden="false" customHeight="false" outlineLevel="0" collapsed="false">
      <c r="A97" s="2" t="s">
        <v>52</v>
      </c>
      <c r="B97" s="2" t="s">
        <v>633</v>
      </c>
      <c r="C97" s="63" t="n">
        <v>8.35</v>
      </c>
      <c r="D97" s="63" t="n">
        <v>6.3</v>
      </c>
      <c r="E97" s="63" t="n">
        <v>3.45</v>
      </c>
      <c r="F97" s="63" t="n">
        <v>5</v>
      </c>
      <c r="G97" s="63" t="n">
        <v>3.8</v>
      </c>
      <c r="H97" s="63" t="n">
        <v>2.1</v>
      </c>
      <c r="I97" s="64" t="n">
        <v>4.04</v>
      </c>
      <c r="J97" s="64" t="n">
        <v>4.85</v>
      </c>
      <c r="K97" s="64" t="n">
        <v>6.7</v>
      </c>
      <c r="L97" s="64"/>
      <c r="M97" s="64" t="n">
        <v>6.35</v>
      </c>
      <c r="N97" s="64"/>
      <c r="O97" s="2" t="s">
        <v>295</v>
      </c>
    </row>
    <row r="98" customFormat="false" ht="15" hidden="false" customHeight="false" outlineLevel="0" collapsed="false">
      <c r="A98" s="2"/>
      <c r="B98" s="2" t="s">
        <v>634</v>
      </c>
      <c r="C98" s="63" t="n">
        <v>0.7</v>
      </c>
      <c r="D98" s="63" t="n">
        <v>1.7</v>
      </c>
      <c r="E98" s="63"/>
      <c r="F98" s="63" t="n">
        <v>0.7</v>
      </c>
      <c r="G98" s="63"/>
      <c r="H98" s="63"/>
      <c r="I98" s="63" t="n">
        <v>0.7</v>
      </c>
      <c r="J98" s="63" t="n">
        <v>1.2</v>
      </c>
      <c r="K98" s="63" t="n">
        <v>1</v>
      </c>
      <c r="L98" s="63"/>
      <c r="M98" s="63" t="n">
        <v>1.4</v>
      </c>
      <c r="N98" s="63"/>
      <c r="O98" s="2"/>
    </row>
    <row r="99" customFormat="false" ht="15" hidden="false" customHeight="false" outlineLevel="0" collapsed="false">
      <c r="A99" s="2"/>
      <c r="B99" s="2" t="s">
        <v>635</v>
      </c>
      <c r="C99" s="63" t="n">
        <v>4.7</v>
      </c>
      <c r="D99" s="63"/>
      <c r="E99" s="63" t="n">
        <v>1.75</v>
      </c>
      <c r="F99" s="63" t="n">
        <v>0.25</v>
      </c>
      <c r="G99" s="63" t="n">
        <v>1.25</v>
      </c>
      <c r="H99" s="63" t="n">
        <v>0.7</v>
      </c>
      <c r="I99" s="63" t="n">
        <v>0.79</v>
      </c>
      <c r="J99" s="63" t="n">
        <v>0.2</v>
      </c>
      <c r="K99" s="63" t="n">
        <v>1.2</v>
      </c>
      <c r="L99" s="63"/>
      <c r="M99" s="63"/>
      <c r="N99" s="63"/>
      <c r="O99" s="2"/>
    </row>
    <row r="100" customFormat="false" ht="15" hidden="false" customHeight="false" outlineLevel="0" collapsed="false">
      <c r="A100" s="2" t="s">
        <v>53</v>
      </c>
      <c r="B100" s="2" t="s">
        <v>633</v>
      </c>
      <c r="C100" s="63" t="n">
        <v>4.4</v>
      </c>
      <c r="D100" s="63" t="n">
        <v>1.55</v>
      </c>
      <c r="E100" s="63" t="n">
        <v>2.35</v>
      </c>
      <c r="F100" s="63" t="n">
        <v>0.65</v>
      </c>
      <c r="G100" s="63" t="n">
        <v>2.75</v>
      </c>
      <c r="H100" s="63" t="n">
        <v>3</v>
      </c>
      <c r="I100" s="63" t="n">
        <v>1.65</v>
      </c>
      <c r="J100" s="63" t="n">
        <v>1.25</v>
      </c>
      <c r="K100" s="64" t="n">
        <v>3.75</v>
      </c>
      <c r="L100" s="64" t="n">
        <v>2.65</v>
      </c>
      <c r="M100" s="64" t="n">
        <v>2.45</v>
      </c>
      <c r="N100" s="64" t="n">
        <v>2</v>
      </c>
      <c r="O100" s="2" t="s">
        <v>240</v>
      </c>
    </row>
    <row r="101" customFormat="false" ht="15" hidden="false" customHeight="false" outlineLevel="0" collapsed="false">
      <c r="A101" s="2"/>
      <c r="B101" s="2" t="s">
        <v>634</v>
      </c>
      <c r="C101" s="63" t="n">
        <v>1</v>
      </c>
      <c r="D101" s="63" t="n">
        <v>0.5</v>
      </c>
      <c r="E101" s="63" t="n">
        <v>0.7</v>
      </c>
      <c r="F101" s="63"/>
      <c r="G101" s="63" t="n">
        <v>0.95</v>
      </c>
      <c r="H101" s="63" t="n">
        <v>1</v>
      </c>
      <c r="I101" s="63"/>
      <c r="J101" s="63" t="n">
        <v>0.5</v>
      </c>
      <c r="K101" s="63"/>
      <c r="L101" s="63" t="n">
        <v>1.4</v>
      </c>
      <c r="M101" s="63" t="n">
        <v>0.7</v>
      </c>
      <c r="N101" s="63"/>
      <c r="O101" s="2"/>
    </row>
    <row r="102" customFormat="false" ht="15" hidden="false" customHeight="false" outlineLevel="0" collapsed="false">
      <c r="A102" s="2"/>
      <c r="B102" s="2" t="s">
        <v>635</v>
      </c>
      <c r="C102" s="63" t="n">
        <v>0.25</v>
      </c>
      <c r="D102" s="63" t="n">
        <v>0.25</v>
      </c>
      <c r="E102" s="63" t="n">
        <v>0.7</v>
      </c>
      <c r="F102" s="63" t="n">
        <v>0.2</v>
      </c>
      <c r="G102" s="63" t="n">
        <v>0.7</v>
      </c>
      <c r="H102" s="63" t="n">
        <v>0.95</v>
      </c>
      <c r="I102" s="63"/>
      <c r="J102" s="63" t="n">
        <v>0.75</v>
      </c>
      <c r="K102" s="63" t="n">
        <v>1.25</v>
      </c>
      <c r="L102" s="63"/>
      <c r="M102" s="63"/>
      <c r="N102" s="63"/>
      <c r="O102" s="2"/>
    </row>
    <row r="103" customFormat="false" ht="15" hidden="false" customHeight="false" outlineLevel="0" collapsed="false">
      <c r="A103" s="2" t="s">
        <v>54</v>
      </c>
      <c r="B103" s="2" t="s">
        <v>633</v>
      </c>
      <c r="C103" s="63"/>
      <c r="D103" s="63"/>
      <c r="E103" s="63" t="n">
        <v>1.25</v>
      </c>
      <c r="F103" s="63" t="n">
        <v>5.95</v>
      </c>
      <c r="G103" s="63" t="n">
        <v>11.25</v>
      </c>
      <c r="H103" s="63" t="n">
        <v>7.75</v>
      </c>
      <c r="I103" s="64" t="n">
        <v>10.5</v>
      </c>
      <c r="J103" s="64" t="n">
        <v>9.01</v>
      </c>
      <c r="K103" s="64" t="n">
        <v>0.96</v>
      </c>
      <c r="L103" s="64" t="n">
        <v>8.6</v>
      </c>
      <c r="M103" s="64" t="n">
        <v>38.45</v>
      </c>
      <c r="N103" s="64" t="n">
        <v>50.85</v>
      </c>
      <c r="O103" s="2" t="s">
        <v>295</v>
      </c>
    </row>
    <row r="104" customFormat="false" ht="15" hidden="false" customHeight="false" outlineLevel="0" collapsed="false">
      <c r="A104" s="2"/>
      <c r="B104" s="2" t="s">
        <v>634</v>
      </c>
      <c r="C104" s="63"/>
      <c r="D104" s="63"/>
      <c r="E104" s="63"/>
      <c r="F104" s="63" t="n">
        <v>1.25</v>
      </c>
      <c r="G104" s="63" t="n">
        <v>0.75</v>
      </c>
      <c r="H104" s="63"/>
      <c r="I104" s="63"/>
      <c r="J104" s="63" t="n">
        <v>0.25</v>
      </c>
      <c r="K104" s="63"/>
      <c r="L104" s="63" t="n">
        <v>1</v>
      </c>
      <c r="M104" s="63"/>
      <c r="N104" s="63"/>
      <c r="O104" s="2"/>
    </row>
    <row r="105" customFormat="false" ht="15" hidden="false" customHeight="false" outlineLevel="0" collapsed="false">
      <c r="A105" s="2"/>
      <c r="B105" s="2" t="s">
        <v>635</v>
      </c>
      <c r="C105" s="63"/>
      <c r="D105" s="63"/>
      <c r="E105" s="63"/>
      <c r="F105" s="63" t="n">
        <v>0.75</v>
      </c>
      <c r="G105" s="63" t="n">
        <v>6.5</v>
      </c>
      <c r="H105" s="63" t="n">
        <v>6.25</v>
      </c>
      <c r="I105" s="63" t="n">
        <v>4.5</v>
      </c>
      <c r="J105" s="63" t="n">
        <v>2.01</v>
      </c>
      <c r="K105" s="63" t="n">
        <v>0.25</v>
      </c>
      <c r="L105" s="63" t="n">
        <v>0.5</v>
      </c>
      <c r="M105" s="63" t="n">
        <v>4.5</v>
      </c>
      <c r="N105" s="63" t="n">
        <v>18.55</v>
      </c>
      <c r="O105" s="2"/>
    </row>
    <row r="106" customFormat="false" ht="15" hidden="false" customHeight="false" outlineLevel="0" collapsed="false">
      <c r="A106" s="2" t="s">
        <v>58</v>
      </c>
      <c r="B106" s="2" t="s">
        <v>633</v>
      </c>
      <c r="C106" s="63" t="n">
        <v>1.65</v>
      </c>
      <c r="D106" s="63" t="n">
        <v>1.8</v>
      </c>
      <c r="E106" s="63" t="n">
        <v>3.4</v>
      </c>
      <c r="F106" s="63" t="n">
        <v>1.75</v>
      </c>
      <c r="G106" s="63" t="n">
        <v>1.05</v>
      </c>
      <c r="H106" s="63" t="n">
        <v>1.05</v>
      </c>
      <c r="I106" s="64" t="n">
        <v>1.6</v>
      </c>
      <c r="J106" s="64" t="n">
        <v>0.65</v>
      </c>
      <c r="K106" s="64" t="n">
        <v>1.45</v>
      </c>
      <c r="L106" s="64" t="n">
        <v>1.2</v>
      </c>
      <c r="M106" s="64"/>
      <c r="N106" s="64"/>
      <c r="O106" s="2" t="s">
        <v>246</v>
      </c>
    </row>
    <row r="107" customFormat="false" ht="15" hidden="false" customHeight="false" outlineLevel="0" collapsed="false">
      <c r="A107" s="2"/>
      <c r="B107" s="2" t="s">
        <v>634</v>
      </c>
      <c r="C107" s="63" t="n">
        <v>0.75</v>
      </c>
      <c r="D107" s="63" t="n">
        <v>0.7</v>
      </c>
      <c r="E107" s="63" t="n">
        <v>0.7</v>
      </c>
      <c r="F107" s="63" t="n">
        <v>0.7</v>
      </c>
      <c r="G107" s="63" t="n">
        <v>0.7</v>
      </c>
      <c r="H107" s="63" t="n">
        <v>0.7</v>
      </c>
      <c r="I107" s="63" t="n">
        <v>0.7</v>
      </c>
      <c r="J107" s="63"/>
      <c r="K107" s="63" t="n">
        <v>0.7</v>
      </c>
      <c r="L107" s="63" t="n">
        <v>0.5</v>
      </c>
      <c r="M107" s="63"/>
      <c r="N107" s="63"/>
      <c r="O107" s="2"/>
    </row>
    <row r="108" customFormat="false" ht="15" hidden="false" customHeight="false" outlineLevel="0" collapsed="false">
      <c r="A108" s="2"/>
      <c r="B108" s="2" t="s">
        <v>635</v>
      </c>
      <c r="C108" s="63"/>
      <c r="D108" s="63" t="n">
        <v>0.35</v>
      </c>
      <c r="E108" s="63" t="n">
        <v>0.35</v>
      </c>
      <c r="F108" s="63" t="n">
        <v>0.2</v>
      </c>
      <c r="G108" s="63"/>
      <c r="H108" s="63" t="n">
        <v>0.35</v>
      </c>
      <c r="I108" s="63" t="n">
        <v>0.75</v>
      </c>
      <c r="J108" s="63"/>
      <c r="K108" s="63"/>
      <c r="L108" s="63"/>
      <c r="M108" s="63"/>
      <c r="N108" s="63"/>
      <c r="O108" s="2"/>
    </row>
    <row r="109" customFormat="false" ht="15" hidden="false" customHeight="false" outlineLevel="0" collapsed="false">
      <c r="A109" s="2" t="s">
        <v>61</v>
      </c>
      <c r="B109" s="2" t="s">
        <v>633</v>
      </c>
      <c r="C109" s="63" t="n">
        <v>16</v>
      </c>
      <c r="D109" s="63" t="n">
        <v>15.9</v>
      </c>
      <c r="E109" s="63" t="n">
        <v>13.5</v>
      </c>
      <c r="F109" s="63" t="n">
        <v>5.7</v>
      </c>
      <c r="G109" s="63" t="n">
        <v>12.7</v>
      </c>
      <c r="H109" s="63" t="n">
        <v>21.95</v>
      </c>
      <c r="I109" s="63" t="n">
        <v>7.6</v>
      </c>
      <c r="J109" s="64" t="n">
        <v>8.8</v>
      </c>
      <c r="K109" s="64" t="n">
        <v>8.6</v>
      </c>
      <c r="L109" s="64" t="n">
        <v>10.1</v>
      </c>
      <c r="M109" s="64" t="n">
        <v>9.45</v>
      </c>
      <c r="N109" s="64" t="n">
        <v>3.5</v>
      </c>
      <c r="O109" s="2" t="s">
        <v>305</v>
      </c>
    </row>
    <row r="110" customFormat="false" ht="15" hidden="false" customHeight="false" outlineLevel="0" collapsed="false">
      <c r="A110" s="2"/>
      <c r="B110" s="2" t="s">
        <v>634</v>
      </c>
      <c r="C110" s="63" t="n">
        <v>2.05</v>
      </c>
      <c r="D110" s="63" t="n">
        <v>1.2</v>
      </c>
      <c r="E110" s="63" t="n">
        <v>0.5</v>
      </c>
      <c r="F110" s="63" t="n">
        <v>1</v>
      </c>
      <c r="G110" s="63" t="n">
        <v>0.7</v>
      </c>
      <c r="H110" s="63" t="n">
        <v>1</v>
      </c>
      <c r="I110" s="63" t="n">
        <v>0.5</v>
      </c>
      <c r="J110" s="63" t="n">
        <v>0.7</v>
      </c>
      <c r="K110" s="63" t="n">
        <v>1.35</v>
      </c>
      <c r="L110" s="63" t="n">
        <v>1.5</v>
      </c>
      <c r="M110" s="63" t="n">
        <v>0.7</v>
      </c>
      <c r="N110" s="63"/>
      <c r="O110" s="2"/>
    </row>
    <row r="111" customFormat="false" ht="15" hidden="false" customHeight="false" outlineLevel="0" collapsed="false">
      <c r="A111" s="2"/>
      <c r="B111" s="2" t="s">
        <v>635</v>
      </c>
      <c r="C111" s="63"/>
      <c r="D111" s="63"/>
      <c r="E111" s="63" t="n">
        <v>4.65</v>
      </c>
      <c r="F111" s="63" t="n">
        <v>0.45</v>
      </c>
      <c r="G111" s="63"/>
      <c r="H111" s="63" t="n">
        <v>5.45</v>
      </c>
      <c r="I111" s="63" t="n">
        <v>1.75</v>
      </c>
      <c r="J111" s="63" t="n">
        <v>1.85</v>
      </c>
      <c r="K111" s="63" t="n">
        <v>0.5</v>
      </c>
      <c r="L111" s="63" t="n">
        <v>2.25</v>
      </c>
      <c r="M111" s="63" t="n">
        <v>4.15</v>
      </c>
      <c r="N111" s="63"/>
      <c r="O111" s="2"/>
    </row>
    <row r="112" customFormat="false" ht="15" hidden="false" customHeight="false" outlineLevel="0" collapsed="false">
      <c r="A112" s="2" t="s">
        <v>63</v>
      </c>
      <c r="B112" s="2" t="s">
        <v>633</v>
      </c>
      <c r="C112" s="63" t="n">
        <v>1</v>
      </c>
      <c r="D112" s="63" t="n">
        <v>1.1</v>
      </c>
      <c r="E112" s="63" t="n">
        <v>0.2</v>
      </c>
      <c r="F112" s="63" t="n">
        <v>2.6</v>
      </c>
      <c r="G112" s="63"/>
      <c r="H112" s="63" t="n">
        <v>1.15</v>
      </c>
      <c r="I112" s="64" t="n">
        <v>2</v>
      </c>
      <c r="J112" s="64"/>
      <c r="K112" s="64"/>
      <c r="L112" s="64" t="n">
        <v>1</v>
      </c>
      <c r="M112" s="64" t="n">
        <v>2.5</v>
      </c>
      <c r="N112" s="64"/>
      <c r="O112" s="2" t="s">
        <v>246</v>
      </c>
    </row>
    <row r="113" customFormat="false" ht="15" hidden="false" customHeight="false" outlineLevel="0" collapsed="false">
      <c r="A113" s="2"/>
      <c r="B113" s="2" t="s">
        <v>634</v>
      </c>
      <c r="C113" s="63"/>
      <c r="D113" s="63" t="n">
        <v>0.7</v>
      </c>
      <c r="E113" s="63"/>
      <c r="F113" s="63" t="n">
        <v>1.25</v>
      </c>
      <c r="G113" s="63"/>
      <c r="H113" s="63"/>
      <c r="I113" s="63" t="n">
        <v>1</v>
      </c>
      <c r="J113" s="63"/>
      <c r="K113" s="63"/>
      <c r="L113" s="63"/>
      <c r="M113" s="63" t="n">
        <v>1</v>
      </c>
      <c r="N113" s="63"/>
      <c r="O113" s="2"/>
    </row>
    <row r="114" customFormat="false" ht="15" hidden="false" customHeight="false" outlineLevel="0" collapsed="false">
      <c r="A114" s="2"/>
      <c r="B114" s="2" t="s">
        <v>635</v>
      </c>
      <c r="C114" s="63"/>
      <c r="D114" s="63"/>
      <c r="E114" s="63" t="n">
        <v>0.2</v>
      </c>
      <c r="F114" s="63" t="n">
        <v>0.1</v>
      </c>
      <c r="G114" s="63"/>
      <c r="H114" s="63" t="n">
        <v>0.15</v>
      </c>
      <c r="I114" s="63"/>
      <c r="J114" s="63"/>
      <c r="K114" s="63"/>
      <c r="L114" s="63"/>
      <c r="M114" s="63" t="n">
        <v>1.5</v>
      </c>
      <c r="N114" s="63"/>
      <c r="O114" s="2"/>
    </row>
    <row r="115" customFormat="false" ht="15" hidden="false" customHeight="false" outlineLevel="0" collapsed="false">
      <c r="A115" s="2" t="s">
        <v>68</v>
      </c>
      <c r="B115" s="2" t="s">
        <v>633</v>
      </c>
      <c r="C115" s="63" t="n">
        <v>13.5</v>
      </c>
      <c r="D115" s="63" t="n">
        <v>6.25</v>
      </c>
      <c r="E115" s="63" t="n">
        <v>10.25</v>
      </c>
      <c r="F115" s="63" t="n">
        <v>13.75</v>
      </c>
      <c r="G115" s="63" t="n">
        <v>21.1</v>
      </c>
      <c r="H115" s="63" t="n">
        <v>17.45</v>
      </c>
      <c r="I115" s="63" t="n">
        <v>6.35</v>
      </c>
      <c r="J115" s="63" t="n">
        <v>5.5</v>
      </c>
      <c r="K115" s="64" t="n">
        <v>4.15</v>
      </c>
      <c r="L115" s="64" t="n">
        <v>4.95</v>
      </c>
      <c r="M115" s="64" t="n">
        <v>11.7</v>
      </c>
      <c r="N115" s="64" t="n">
        <v>13.65</v>
      </c>
      <c r="O115" s="2" t="s">
        <v>240</v>
      </c>
    </row>
    <row r="116" customFormat="false" ht="15" hidden="false" customHeight="false" outlineLevel="0" collapsed="false">
      <c r="A116" s="2"/>
      <c r="B116" s="2" t="s">
        <v>634</v>
      </c>
      <c r="C116" s="63" t="n">
        <v>2.25</v>
      </c>
      <c r="D116" s="63" t="n">
        <v>0.7</v>
      </c>
      <c r="E116" s="63" t="n">
        <v>2</v>
      </c>
      <c r="F116" s="63" t="n">
        <v>2</v>
      </c>
      <c r="G116" s="63"/>
      <c r="H116" s="63" t="n">
        <v>1.5</v>
      </c>
      <c r="I116" s="63" t="n">
        <v>1</v>
      </c>
      <c r="J116" s="63" t="n">
        <v>1.5</v>
      </c>
      <c r="K116" s="63"/>
      <c r="L116" s="63" t="n">
        <v>0.7</v>
      </c>
      <c r="M116" s="63" t="n">
        <v>1</v>
      </c>
      <c r="N116" s="63"/>
      <c r="O116" s="2"/>
    </row>
    <row r="117" customFormat="false" ht="15" hidden="false" customHeight="false" outlineLevel="0" collapsed="false">
      <c r="A117" s="2"/>
      <c r="B117" s="2" t="s">
        <v>635</v>
      </c>
      <c r="C117" s="63"/>
      <c r="D117" s="63" t="n">
        <v>1</v>
      </c>
      <c r="E117" s="63" t="n">
        <v>5.25</v>
      </c>
      <c r="F117" s="63" t="n">
        <v>6.4</v>
      </c>
      <c r="G117" s="63" t="n">
        <v>12.35</v>
      </c>
      <c r="H117" s="63" t="n">
        <v>12.7</v>
      </c>
      <c r="I117" s="63" t="n">
        <v>1.25</v>
      </c>
      <c r="J117" s="63" t="n">
        <v>0.8</v>
      </c>
      <c r="K117" s="63" t="n">
        <v>1.4</v>
      </c>
      <c r="L117" s="63" t="n">
        <v>3</v>
      </c>
      <c r="M117" s="63" t="n">
        <v>8.7</v>
      </c>
      <c r="N117" s="63" t="n">
        <v>4.25</v>
      </c>
      <c r="O117" s="2"/>
    </row>
    <row r="118" customFormat="false" ht="15" hidden="false" customHeight="false" outlineLevel="0" collapsed="false">
      <c r="A118" s="2" t="s">
        <v>69</v>
      </c>
      <c r="B118" s="2" t="s">
        <v>633</v>
      </c>
      <c r="C118" s="63" t="n">
        <v>0.1</v>
      </c>
      <c r="D118" s="63" t="n">
        <v>1.55</v>
      </c>
      <c r="E118" s="63" t="n">
        <v>1.55</v>
      </c>
      <c r="F118" s="63" t="n">
        <v>1.35</v>
      </c>
      <c r="G118" s="63" t="n">
        <v>0.1</v>
      </c>
      <c r="H118" s="63" t="n">
        <v>0.1</v>
      </c>
      <c r="I118" s="64" t="n">
        <v>0.33</v>
      </c>
      <c r="J118" s="64"/>
      <c r="K118" s="64" t="n">
        <v>0.34</v>
      </c>
      <c r="L118" s="64"/>
      <c r="M118" s="64"/>
      <c r="N118" s="64" t="n">
        <v>3.3</v>
      </c>
      <c r="O118" s="2" t="s">
        <v>271</v>
      </c>
    </row>
    <row r="119" customFormat="false" ht="15" hidden="false" customHeight="false" outlineLevel="0" collapsed="false">
      <c r="A119" s="2"/>
      <c r="B119" s="2" t="s">
        <v>634</v>
      </c>
      <c r="C119" s="63"/>
      <c r="D119" s="63"/>
      <c r="E119" s="63" t="n">
        <v>0.7</v>
      </c>
      <c r="F119" s="63" t="n">
        <v>0.7</v>
      </c>
      <c r="G119" s="63"/>
      <c r="H119" s="63"/>
      <c r="I119" s="63"/>
      <c r="J119" s="63"/>
      <c r="K119" s="63"/>
      <c r="L119" s="63"/>
      <c r="M119" s="63"/>
      <c r="N119" s="63"/>
      <c r="O119" s="2"/>
    </row>
    <row r="120" customFormat="false" ht="15" hidden="false" customHeight="false" outlineLevel="0" collapsed="false">
      <c r="A120" s="2"/>
      <c r="B120" s="2" t="s">
        <v>635</v>
      </c>
      <c r="C120" s="63"/>
      <c r="D120" s="63" t="n">
        <v>0.7</v>
      </c>
      <c r="E120" s="63" t="n">
        <v>0.4</v>
      </c>
      <c r="F120" s="63" t="n">
        <v>0.2</v>
      </c>
      <c r="G120" s="63"/>
      <c r="H120" s="63"/>
      <c r="I120" s="63"/>
      <c r="J120" s="63"/>
      <c r="K120" s="63" t="n">
        <v>0.34</v>
      </c>
      <c r="L120" s="63"/>
      <c r="M120" s="63"/>
      <c r="N120" s="63" t="n">
        <v>0.6</v>
      </c>
      <c r="O120" s="2"/>
    </row>
    <row r="121" customFormat="false" ht="15" hidden="false" customHeight="false" outlineLevel="0" collapsed="false">
      <c r="A121" s="2" t="s">
        <v>70</v>
      </c>
      <c r="B121" s="2" t="s">
        <v>633</v>
      </c>
      <c r="C121" s="63" t="n">
        <v>6.55</v>
      </c>
      <c r="D121" s="63" t="n">
        <v>2.25</v>
      </c>
      <c r="E121" s="63" t="n">
        <v>2.9</v>
      </c>
      <c r="F121" s="63" t="n">
        <v>13.6</v>
      </c>
      <c r="G121" s="63" t="n">
        <v>6.45</v>
      </c>
      <c r="H121" s="63" t="n">
        <v>3.95</v>
      </c>
      <c r="I121" s="63" t="n">
        <v>2</v>
      </c>
      <c r="J121" s="63" t="n">
        <v>11.76</v>
      </c>
      <c r="K121" s="63" t="n">
        <v>16.35</v>
      </c>
      <c r="L121" s="64" t="n">
        <v>9.1</v>
      </c>
      <c r="M121" s="64" t="n">
        <v>12.5</v>
      </c>
      <c r="N121" s="64" t="n">
        <v>8.5</v>
      </c>
      <c r="O121" s="2" t="s">
        <v>258</v>
      </c>
    </row>
    <row r="122" customFormat="false" ht="15" hidden="false" customHeight="false" outlineLevel="0" collapsed="false">
      <c r="A122" s="2"/>
      <c r="B122" s="2" t="s">
        <v>634</v>
      </c>
      <c r="C122" s="63" t="n">
        <v>1.35</v>
      </c>
      <c r="D122" s="63" t="n">
        <v>1</v>
      </c>
      <c r="E122" s="63"/>
      <c r="F122" s="63" t="n">
        <v>2</v>
      </c>
      <c r="G122" s="63" t="n">
        <v>3.5</v>
      </c>
      <c r="H122" s="63" t="n">
        <v>0.75</v>
      </c>
      <c r="I122" s="63" t="n">
        <v>1</v>
      </c>
      <c r="J122" s="63" t="n">
        <v>3.25</v>
      </c>
      <c r="K122" s="63" t="n">
        <v>5.75</v>
      </c>
      <c r="L122" s="63" t="n">
        <v>3.25</v>
      </c>
      <c r="M122" s="63" t="n">
        <v>1.75</v>
      </c>
      <c r="N122" s="63" t="n">
        <v>3</v>
      </c>
      <c r="O122" s="2"/>
    </row>
    <row r="123" customFormat="false" ht="15" hidden="false" customHeight="false" outlineLevel="0" collapsed="false">
      <c r="A123" s="2"/>
      <c r="B123" s="2" t="s">
        <v>635</v>
      </c>
      <c r="C123" s="63" t="n">
        <v>2</v>
      </c>
      <c r="D123" s="63"/>
      <c r="E123" s="63" t="n">
        <v>2.4</v>
      </c>
      <c r="F123" s="63" t="n">
        <v>4.55</v>
      </c>
      <c r="G123" s="63" t="n">
        <v>1.7</v>
      </c>
      <c r="H123" s="63" t="n">
        <v>2.2</v>
      </c>
      <c r="I123" s="63" t="n">
        <v>0.75</v>
      </c>
      <c r="J123" s="63" t="n">
        <v>5.01</v>
      </c>
      <c r="K123" s="63" t="n">
        <v>7</v>
      </c>
      <c r="L123" s="63" t="n">
        <v>2</v>
      </c>
      <c r="M123" s="63" t="n">
        <v>4.25</v>
      </c>
      <c r="N123" s="63" t="n">
        <v>0.5</v>
      </c>
      <c r="O123" s="2"/>
    </row>
    <row r="124" customFormat="false" ht="15" hidden="false" customHeight="false" outlineLevel="0" collapsed="false">
      <c r="A124" s="2" t="s">
        <v>71</v>
      </c>
      <c r="B124" s="2" t="s">
        <v>633</v>
      </c>
      <c r="C124" s="63" t="n">
        <v>4.8</v>
      </c>
      <c r="D124" s="63" t="n">
        <v>3.75</v>
      </c>
      <c r="E124" s="63" t="n">
        <v>5.1</v>
      </c>
      <c r="F124" s="63" t="n">
        <v>5.75</v>
      </c>
      <c r="G124" s="63" t="n">
        <v>3.1</v>
      </c>
      <c r="H124" s="63" t="n">
        <v>5.3</v>
      </c>
      <c r="I124" s="64" t="n">
        <v>5.6</v>
      </c>
      <c r="J124" s="64" t="n">
        <v>7.08</v>
      </c>
      <c r="K124" s="64" t="n">
        <v>9</v>
      </c>
      <c r="L124" s="64" t="n">
        <v>9</v>
      </c>
      <c r="M124" s="64" t="n">
        <v>6</v>
      </c>
      <c r="N124" s="64" t="n">
        <v>7</v>
      </c>
      <c r="O124" s="2" t="s">
        <v>295</v>
      </c>
    </row>
    <row r="125" customFormat="false" ht="15" hidden="false" customHeight="false" outlineLevel="0" collapsed="false">
      <c r="A125" s="2"/>
      <c r="B125" s="2" t="s">
        <v>634</v>
      </c>
      <c r="C125" s="63" t="n">
        <v>1.7</v>
      </c>
      <c r="D125" s="63" t="n">
        <v>1.7</v>
      </c>
      <c r="E125" s="63"/>
      <c r="F125" s="63" t="n">
        <v>1.4</v>
      </c>
      <c r="G125" s="63" t="n">
        <v>0.7</v>
      </c>
      <c r="H125" s="63" t="n">
        <v>1</v>
      </c>
      <c r="I125" s="63" t="n">
        <v>0.7</v>
      </c>
      <c r="J125" s="63" t="n">
        <v>0.7</v>
      </c>
      <c r="K125" s="63" t="n">
        <v>1</v>
      </c>
      <c r="L125" s="63" t="n">
        <v>1</v>
      </c>
      <c r="M125" s="63" t="n">
        <v>1</v>
      </c>
      <c r="N125" s="63"/>
      <c r="O125" s="2"/>
    </row>
    <row r="126" customFormat="false" ht="15" hidden="false" customHeight="false" outlineLevel="0" collapsed="false">
      <c r="A126" s="2"/>
      <c r="B126" s="2" t="s">
        <v>635</v>
      </c>
      <c r="C126" s="63" t="n">
        <v>0.75</v>
      </c>
      <c r="D126" s="63"/>
      <c r="E126" s="63" t="n">
        <v>0.65</v>
      </c>
      <c r="F126" s="63" t="n">
        <v>0.6</v>
      </c>
      <c r="G126" s="63" t="n">
        <v>2.4</v>
      </c>
      <c r="H126" s="63" t="n">
        <v>4</v>
      </c>
      <c r="I126" s="63" t="n">
        <v>2.25</v>
      </c>
      <c r="J126" s="63" t="n">
        <v>1.75</v>
      </c>
      <c r="K126" s="63" t="n">
        <v>1</v>
      </c>
      <c r="L126" s="63"/>
      <c r="M126" s="63"/>
      <c r="N126" s="63"/>
      <c r="O126" s="2"/>
    </row>
    <row r="127" customFormat="false" ht="15" hidden="false" customHeight="false" outlineLevel="0" collapsed="false">
      <c r="A127" s="2" t="s">
        <v>639</v>
      </c>
      <c r="B127" s="2" t="s">
        <v>633</v>
      </c>
      <c r="C127" s="63"/>
      <c r="D127" s="63"/>
      <c r="E127" s="63"/>
      <c r="F127" s="63" t="n">
        <v>0.25</v>
      </c>
      <c r="G127" s="63"/>
      <c r="H127" s="63"/>
      <c r="I127" s="63"/>
      <c r="J127" s="63"/>
      <c r="K127" s="63"/>
      <c r="L127" s="63"/>
      <c r="M127" s="63"/>
      <c r="N127" s="63"/>
      <c r="O127" s="2" t="s">
        <v>256</v>
      </c>
    </row>
    <row r="128" customFormat="false" ht="15" hidden="false" customHeight="false" outlineLevel="0" collapsed="false">
      <c r="A128" s="2"/>
      <c r="B128" s="2" t="s">
        <v>634</v>
      </c>
      <c r="C128" s="63"/>
      <c r="D128" s="63"/>
      <c r="E128" s="63"/>
      <c r="F128" s="63"/>
      <c r="G128" s="63"/>
      <c r="H128" s="63"/>
      <c r="I128" s="63"/>
      <c r="J128" s="63"/>
      <c r="K128" s="63"/>
      <c r="L128" s="63"/>
      <c r="M128" s="63"/>
      <c r="N128" s="63"/>
      <c r="O128" s="2"/>
    </row>
    <row r="129" customFormat="false" ht="15" hidden="false" customHeight="false" outlineLevel="0" collapsed="false">
      <c r="A129" s="2"/>
      <c r="B129" s="2" t="s">
        <v>635</v>
      </c>
      <c r="C129" s="63"/>
      <c r="D129" s="63"/>
      <c r="E129" s="63"/>
      <c r="F129" s="63"/>
      <c r="G129" s="63"/>
      <c r="H129" s="63"/>
      <c r="I129" s="63"/>
      <c r="J129" s="63"/>
      <c r="K129" s="63"/>
      <c r="L129" s="63"/>
      <c r="M129" s="63"/>
      <c r="N129" s="63"/>
      <c r="O129" s="2"/>
    </row>
    <row r="130" customFormat="false" ht="15" hidden="false" customHeight="false" outlineLevel="0" collapsed="false">
      <c r="A130" s="2" t="s">
        <v>72</v>
      </c>
      <c r="B130" s="2" t="s">
        <v>633</v>
      </c>
      <c r="C130" s="63" t="n">
        <v>3.85</v>
      </c>
      <c r="D130" s="63" t="n">
        <v>2.85</v>
      </c>
      <c r="E130" s="63"/>
      <c r="F130" s="63" t="n">
        <v>4.95</v>
      </c>
      <c r="G130" s="63" t="n">
        <v>3</v>
      </c>
      <c r="H130" s="63"/>
      <c r="I130" s="64" t="n">
        <v>1</v>
      </c>
      <c r="J130" s="64" t="n">
        <v>3</v>
      </c>
      <c r="K130" s="64" t="n">
        <v>0.5</v>
      </c>
      <c r="L130" s="64" t="n">
        <v>2.5</v>
      </c>
      <c r="M130" s="64"/>
      <c r="N130" s="64"/>
      <c r="O130" s="2" t="s">
        <v>246</v>
      </c>
    </row>
    <row r="131" customFormat="false" ht="15" hidden="false" customHeight="false" outlineLevel="0" collapsed="false">
      <c r="A131" s="2"/>
      <c r="B131" s="2" t="s">
        <v>634</v>
      </c>
      <c r="C131" s="63"/>
      <c r="D131" s="63" t="n">
        <v>1.5</v>
      </c>
      <c r="E131" s="63"/>
      <c r="F131" s="63"/>
      <c r="G131" s="63"/>
      <c r="H131" s="63"/>
      <c r="I131" s="63" t="n">
        <v>1</v>
      </c>
      <c r="J131" s="63" t="n">
        <v>1.5</v>
      </c>
      <c r="K131" s="63"/>
      <c r="L131" s="63"/>
      <c r="M131" s="63"/>
      <c r="N131" s="63"/>
      <c r="O131" s="2"/>
    </row>
    <row r="132" customFormat="false" ht="15" hidden="false" customHeight="false" outlineLevel="0" collapsed="false">
      <c r="A132" s="2"/>
      <c r="B132" s="2" t="s">
        <v>635</v>
      </c>
      <c r="C132" s="63" t="n">
        <v>1</v>
      </c>
      <c r="D132" s="63"/>
      <c r="E132" s="63"/>
      <c r="F132" s="63" t="n">
        <v>0.95</v>
      </c>
      <c r="G132" s="63" t="n">
        <v>1.5</v>
      </c>
      <c r="H132" s="63"/>
      <c r="I132" s="63"/>
      <c r="J132" s="63"/>
      <c r="K132" s="63" t="n">
        <v>0.5</v>
      </c>
      <c r="L132" s="63" t="n">
        <v>1.5</v>
      </c>
      <c r="M132" s="63"/>
      <c r="N132" s="63"/>
      <c r="O132" s="2"/>
    </row>
    <row r="133" customFormat="false" ht="15" hidden="false" customHeight="false" outlineLevel="0" collapsed="false">
      <c r="A133" s="2" t="s">
        <v>73</v>
      </c>
      <c r="B133" s="2" t="s">
        <v>633</v>
      </c>
      <c r="C133" s="63"/>
      <c r="D133" s="63" t="n">
        <v>0.75</v>
      </c>
      <c r="E133" s="63"/>
      <c r="F133" s="63" t="n">
        <v>0.35</v>
      </c>
      <c r="G133" s="63" t="n">
        <v>3.55</v>
      </c>
      <c r="H133" s="64" t="n">
        <v>1</v>
      </c>
      <c r="I133" s="64" t="n">
        <v>7</v>
      </c>
      <c r="J133" s="64" t="n">
        <v>1.5</v>
      </c>
      <c r="K133" s="64" t="n">
        <v>0.5</v>
      </c>
      <c r="L133" s="64" t="n">
        <v>10</v>
      </c>
      <c r="M133" s="64" t="n">
        <v>20.75</v>
      </c>
      <c r="N133" s="64" t="n">
        <v>22.5</v>
      </c>
      <c r="O133" s="2" t="s">
        <v>323</v>
      </c>
    </row>
    <row r="134" customFormat="false" ht="15" hidden="false" customHeight="false" outlineLevel="0" collapsed="false">
      <c r="A134" s="2"/>
      <c r="B134" s="2" t="s">
        <v>634</v>
      </c>
      <c r="C134" s="63"/>
      <c r="D134" s="63"/>
      <c r="E134" s="63"/>
      <c r="F134" s="63"/>
      <c r="G134" s="63"/>
      <c r="H134" s="63"/>
      <c r="I134" s="63"/>
      <c r="J134" s="63"/>
      <c r="K134" s="63"/>
      <c r="L134" s="63"/>
      <c r="M134" s="63"/>
      <c r="N134" s="63"/>
      <c r="O134" s="2"/>
    </row>
    <row r="135" customFormat="false" ht="15" hidden="false" customHeight="false" outlineLevel="0" collapsed="false">
      <c r="A135" s="2"/>
      <c r="B135" s="2" t="s">
        <v>635</v>
      </c>
      <c r="C135" s="63"/>
      <c r="D135" s="63" t="n">
        <v>0.5</v>
      </c>
      <c r="E135" s="63"/>
      <c r="F135" s="63" t="n">
        <v>0.35</v>
      </c>
      <c r="G135" s="63" t="n">
        <v>3.4</v>
      </c>
      <c r="H135" s="63"/>
      <c r="I135" s="63" t="n">
        <v>6</v>
      </c>
      <c r="J135" s="63"/>
      <c r="K135" s="63"/>
      <c r="L135" s="63" t="n">
        <v>5</v>
      </c>
      <c r="M135" s="63" t="n">
        <v>15.25</v>
      </c>
      <c r="N135" s="63" t="n">
        <v>15.25</v>
      </c>
      <c r="O135" s="2"/>
    </row>
    <row r="136" customFormat="false" ht="15" hidden="false" customHeight="false" outlineLevel="0" collapsed="false">
      <c r="A136" s="2" t="s">
        <v>74</v>
      </c>
      <c r="B136" s="2" t="s">
        <v>633</v>
      </c>
      <c r="C136" s="63" t="n">
        <v>0.35</v>
      </c>
      <c r="D136" s="63" t="n">
        <v>5.75</v>
      </c>
      <c r="E136" s="63" t="n">
        <v>3.75</v>
      </c>
      <c r="F136" s="63" t="n">
        <v>2.2</v>
      </c>
      <c r="G136" s="63" t="n">
        <v>0.4</v>
      </c>
      <c r="H136" s="63" t="n">
        <v>12.1</v>
      </c>
      <c r="I136" s="63" t="n">
        <v>8.19</v>
      </c>
      <c r="J136" s="63" t="n">
        <v>5.04</v>
      </c>
      <c r="K136" s="63" t="n">
        <v>6.71</v>
      </c>
      <c r="L136" s="64" t="n">
        <v>12.39</v>
      </c>
      <c r="M136" s="64" t="n">
        <v>17.62</v>
      </c>
      <c r="N136" s="64" t="n">
        <v>14.15</v>
      </c>
      <c r="O136" s="2" t="s">
        <v>258</v>
      </c>
    </row>
    <row r="137" customFormat="false" ht="15" hidden="false" customHeight="false" outlineLevel="0" collapsed="false">
      <c r="A137" s="2"/>
      <c r="B137" s="2" t="s">
        <v>634</v>
      </c>
      <c r="C137" s="63"/>
      <c r="D137" s="63" t="n">
        <v>0.5</v>
      </c>
      <c r="E137" s="63" t="n">
        <v>2.25</v>
      </c>
      <c r="F137" s="63" t="n">
        <v>1.75</v>
      </c>
      <c r="G137" s="63"/>
      <c r="H137" s="63"/>
      <c r="I137" s="63" t="n">
        <v>0.75</v>
      </c>
      <c r="J137" s="63"/>
      <c r="K137" s="63" t="n">
        <v>0.25</v>
      </c>
      <c r="L137" s="63" t="n">
        <v>0.75</v>
      </c>
      <c r="M137" s="63" t="n">
        <v>1.5</v>
      </c>
      <c r="N137" s="63"/>
      <c r="O137" s="2"/>
    </row>
    <row r="138" customFormat="false" ht="15" hidden="false" customHeight="false" outlineLevel="0" collapsed="false">
      <c r="A138" s="2"/>
      <c r="B138" s="2" t="s">
        <v>635</v>
      </c>
      <c r="C138" s="63"/>
      <c r="D138" s="63" t="n">
        <v>3.15</v>
      </c>
      <c r="E138" s="63" t="n">
        <v>0.45</v>
      </c>
      <c r="F138" s="63" t="n">
        <v>0.1</v>
      </c>
      <c r="G138" s="63"/>
      <c r="H138" s="63" t="n">
        <v>4.75</v>
      </c>
      <c r="I138" s="63" t="n">
        <v>0.6</v>
      </c>
      <c r="J138" s="63" t="n">
        <v>0.75</v>
      </c>
      <c r="K138" s="63" t="n">
        <v>3.07</v>
      </c>
      <c r="L138" s="63" t="n">
        <v>3.87</v>
      </c>
      <c r="M138" s="63" t="n">
        <v>5.12</v>
      </c>
      <c r="N138" s="63" t="n">
        <v>3.8</v>
      </c>
      <c r="O138" s="2"/>
    </row>
    <row r="139" customFormat="false" ht="15" hidden="false" customHeight="false" outlineLevel="0" collapsed="false">
      <c r="A139" s="2" t="s">
        <v>75</v>
      </c>
      <c r="B139" s="2" t="s">
        <v>633</v>
      </c>
      <c r="C139" s="63" t="n">
        <v>0.7</v>
      </c>
      <c r="D139" s="63" t="n">
        <v>0.8</v>
      </c>
      <c r="E139" s="63" t="n">
        <v>0.95</v>
      </c>
      <c r="F139" s="63" t="n">
        <v>1.15</v>
      </c>
      <c r="G139" s="63" t="n">
        <v>0.9</v>
      </c>
      <c r="H139" s="63" t="n">
        <v>0.9</v>
      </c>
      <c r="I139" s="63" t="n">
        <v>1.02</v>
      </c>
      <c r="J139" s="63" t="n">
        <v>1</v>
      </c>
      <c r="K139" s="64" t="n">
        <v>1.75</v>
      </c>
      <c r="L139" s="64" t="n">
        <v>2.5</v>
      </c>
      <c r="M139" s="64" t="n">
        <v>2.75</v>
      </c>
      <c r="N139" s="64" t="n">
        <v>0.75</v>
      </c>
      <c r="O139" s="2" t="s">
        <v>240</v>
      </c>
    </row>
    <row r="140" customFormat="false" ht="15" hidden="false" customHeight="false" outlineLevel="0" collapsed="false">
      <c r="A140" s="2"/>
      <c r="B140" s="2" t="s">
        <v>634</v>
      </c>
      <c r="C140" s="63" t="n">
        <v>0.5</v>
      </c>
      <c r="D140" s="63" t="n">
        <v>0.5</v>
      </c>
      <c r="E140" s="63" t="n">
        <v>0.7</v>
      </c>
      <c r="F140" s="63" t="n">
        <v>0.7</v>
      </c>
      <c r="G140" s="63" t="n">
        <v>0.7</v>
      </c>
      <c r="H140" s="63" t="n">
        <v>0.7</v>
      </c>
      <c r="I140" s="63" t="n">
        <v>0.7</v>
      </c>
      <c r="J140" s="63" t="n">
        <v>0.5</v>
      </c>
      <c r="K140" s="63" t="n">
        <v>0.25</v>
      </c>
      <c r="L140" s="63" t="n">
        <v>0.25</v>
      </c>
      <c r="M140" s="63" t="n">
        <v>0.25</v>
      </c>
      <c r="N140" s="63" t="n">
        <v>0.25</v>
      </c>
      <c r="O140" s="2"/>
    </row>
    <row r="141" customFormat="false" ht="15" hidden="false" customHeight="false" outlineLevel="0" collapsed="false">
      <c r="A141" s="2"/>
      <c r="B141" s="2" t="s">
        <v>635</v>
      </c>
      <c r="C141" s="63"/>
      <c r="D141" s="63" t="n">
        <v>0.1</v>
      </c>
      <c r="E141" s="63"/>
      <c r="F141" s="63" t="n">
        <v>0.1</v>
      </c>
      <c r="G141" s="63"/>
      <c r="H141" s="63"/>
      <c r="I141" s="63"/>
      <c r="J141" s="63"/>
      <c r="K141" s="63"/>
      <c r="L141" s="63" t="n">
        <v>0.75</v>
      </c>
      <c r="M141" s="63"/>
      <c r="N141" s="63"/>
      <c r="O141" s="2"/>
    </row>
    <row r="142" customFormat="false" ht="15" hidden="false" customHeight="false" outlineLevel="0" collapsed="false">
      <c r="A142" s="2" t="s">
        <v>545</v>
      </c>
      <c r="B142" s="2" t="s">
        <v>633</v>
      </c>
      <c r="C142" s="63"/>
      <c r="D142" s="63"/>
      <c r="E142" s="63"/>
      <c r="F142" s="63"/>
      <c r="G142" s="63"/>
      <c r="H142" s="63"/>
      <c r="I142" s="63"/>
      <c r="J142" s="63"/>
      <c r="K142" s="63"/>
      <c r="L142" s="63"/>
      <c r="M142" s="63"/>
      <c r="N142" s="63" t="n">
        <v>11.33</v>
      </c>
      <c r="O142" s="2" t="s">
        <v>329</v>
      </c>
    </row>
    <row r="143" customFormat="false" ht="15" hidden="false" customHeight="false" outlineLevel="0" collapsed="false">
      <c r="A143" s="2"/>
      <c r="B143" s="2" t="s">
        <v>634</v>
      </c>
      <c r="C143" s="63"/>
      <c r="D143" s="63"/>
      <c r="E143" s="63"/>
      <c r="F143" s="63"/>
      <c r="G143" s="63"/>
      <c r="H143" s="63"/>
      <c r="I143" s="63"/>
      <c r="J143" s="63"/>
      <c r="K143" s="63"/>
      <c r="L143" s="63"/>
      <c r="M143" s="63"/>
      <c r="N143" s="63"/>
      <c r="O143" s="2"/>
    </row>
    <row r="144" customFormat="false" ht="15" hidden="false" customHeight="false" outlineLevel="0" collapsed="false">
      <c r="A144" s="2"/>
      <c r="B144" s="2" t="s">
        <v>635</v>
      </c>
      <c r="C144" s="63"/>
      <c r="D144" s="63"/>
      <c r="E144" s="63"/>
      <c r="F144" s="63"/>
      <c r="G144" s="63"/>
      <c r="H144" s="63"/>
      <c r="I144" s="63"/>
      <c r="J144" s="63"/>
      <c r="K144" s="63"/>
      <c r="L144" s="63"/>
      <c r="M144" s="63"/>
      <c r="N144" s="63" t="n">
        <v>3.5</v>
      </c>
      <c r="O144" s="2"/>
    </row>
    <row r="145" customFormat="false" ht="15" hidden="false" customHeight="false" outlineLevel="0" collapsed="false">
      <c r="A145" s="2" t="s">
        <v>76</v>
      </c>
      <c r="B145" s="2" t="s">
        <v>633</v>
      </c>
      <c r="C145" s="63"/>
      <c r="D145" s="63"/>
      <c r="E145" s="63"/>
      <c r="F145" s="63"/>
      <c r="G145" s="63"/>
      <c r="H145" s="63"/>
      <c r="I145" s="63"/>
      <c r="J145" s="63" t="n">
        <v>28.57</v>
      </c>
      <c r="K145" s="64" t="n">
        <v>38.9</v>
      </c>
      <c r="L145" s="64" t="n">
        <v>39.88</v>
      </c>
      <c r="M145" s="64" t="n">
        <v>33.45</v>
      </c>
      <c r="N145" s="64" t="n">
        <v>43.75</v>
      </c>
      <c r="O145" s="2" t="s">
        <v>240</v>
      </c>
    </row>
    <row r="146" customFormat="false" ht="15" hidden="false" customHeight="false" outlineLevel="0" collapsed="false">
      <c r="A146" s="2"/>
      <c r="B146" s="2" t="s">
        <v>634</v>
      </c>
      <c r="C146" s="63"/>
      <c r="D146" s="63"/>
      <c r="E146" s="63"/>
      <c r="F146" s="63"/>
      <c r="G146" s="63"/>
      <c r="H146" s="63"/>
      <c r="I146" s="63"/>
      <c r="J146" s="63"/>
      <c r="K146" s="63" t="n">
        <v>4.25</v>
      </c>
      <c r="L146" s="63" t="n">
        <v>2.5</v>
      </c>
      <c r="M146" s="63" t="n">
        <v>0.25</v>
      </c>
      <c r="N146" s="63" t="n">
        <v>5.5</v>
      </c>
      <c r="O146" s="2"/>
    </row>
    <row r="147" customFormat="false" ht="15" hidden="false" customHeight="false" outlineLevel="0" collapsed="false">
      <c r="A147" s="2"/>
      <c r="B147" s="2" t="s">
        <v>635</v>
      </c>
      <c r="C147" s="63"/>
      <c r="D147" s="63"/>
      <c r="E147" s="63"/>
      <c r="F147" s="63"/>
      <c r="G147" s="63"/>
      <c r="H147" s="63"/>
      <c r="I147" s="63"/>
      <c r="J147" s="63" t="n">
        <v>16.47</v>
      </c>
      <c r="K147" s="63" t="n">
        <v>14.85</v>
      </c>
      <c r="L147" s="63" t="n">
        <v>13.57</v>
      </c>
      <c r="M147" s="63" t="n">
        <v>9.2</v>
      </c>
      <c r="N147" s="63" t="n">
        <v>5.25</v>
      </c>
      <c r="O147" s="2"/>
    </row>
    <row r="148" customFormat="false" ht="15" hidden="false" customHeight="false" outlineLevel="0" collapsed="false">
      <c r="A148" s="2" t="s">
        <v>81</v>
      </c>
      <c r="B148" s="2" t="s">
        <v>633</v>
      </c>
      <c r="C148" s="63" t="n">
        <v>0.95</v>
      </c>
      <c r="D148" s="63" t="n">
        <v>1.05</v>
      </c>
      <c r="E148" s="63" t="n">
        <v>0.9</v>
      </c>
      <c r="F148" s="63" t="n">
        <v>0.85</v>
      </c>
      <c r="G148" s="63" t="n">
        <v>0.9</v>
      </c>
      <c r="H148" s="63" t="n">
        <v>1.35</v>
      </c>
      <c r="I148" s="63" t="n">
        <v>1.19</v>
      </c>
      <c r="J148" s="63" t="n">
        <v>0.88</v>
      </c>
      <c r="K148" s="64" t="n">
        <v>2.8</v>
      </c>
      <c r="L148" s="64" t="n">
        <v>3</v>
      </c>
      <c r="M148" s="64" t="n">
        <v>5</v>
      </c>
      <c r="N148" s="64" t="n">
        <v>0.25</v>
      </c>
      <c r="O148" s="2" t="s">
        <v>240</v>
      </c>
    </row>
    <row r="149" customFormat="false" ht="15" hidden="false" customHeight="false" outlineLevel="0" collapsed="false">
      <c r="A149" s="2"/>
      <c r="B149" s="2" t="s">
        <v>634</v>
      </c>
      <c r="C149" s="63" t="n">
        <v>0.5</v>
      </c>
      <c r="D149" s="63" t="n">
        <v>0.5</v>
      </c>
      <c r="E149" s="63" t="n">
        <v>0.7</v>
      </c>
      <c r="F149" s="63" t="n">
        <v>0.5</v>
      </c>
      <c r="G149" s="63" t="n">
        <v>0.7</v>
      </c>
      <c r="H149" s="63" t="n">
        <v>0.7</v>
      </c>
      <c r="I149" s="63" t="n">
        <v>0.7</v>
      </c>
      <c r="J149" s="63"/>
      <c r="K149" s="63" t="n">
        <v>1</v>
      </c>
      <c r="L149" s="63" t="n">
        <v>0.25</v>
      </c>
      <c r="M149" s="63" t="n">
        <v>0.25</v>
      </c>
      <c r="N149" s="63" t="n">
        <v>0.25</v>
      </c>
      <c r="O149" s="2"/>
    </row>
    <row r="150" customFormat="false" ht="15" hidden="false" customHeight="false" outlineLevel="0" collapsed="false">
      <c r="A150" s="2"/>
      <c r="B150" s="2" t="s">
        <v>635</v>
      </c>
      <c r="C150" s="63"/>
      <c r="D150" s="63" t="n">
        <v>0.2</v>
      </c>
      <c r="E150" s="63"/>
      <c r="F150" s="63" t="n">
        <v>0.2</v>
      </c>
      <c r="G150" s="63"/>
      <c r="H150" s="63"/>
      <c r="I150" s="63" t="n">
        <v>0.25</v>
      </c>
      <c r="J150" s="63"/>
      <c r="K150" s="63"/>
      <c r="L150" s="63"/>
      <c r="M150" s="63" t="n">
        <v>1.5</v>
      </c>
      <c r="N150" s="63"/>
      <c r="O150" s="2"/>
    </row>
    <row r="151" customFormat="false" ht="15" hidden="false" customHeight="false" outlineLevel="0" collapsed="false">
      <c r="A151" s="2" t="s">
        <v>82</v>
      </c>
      <c r="B151" s="2" t="s">
        <v>633</v>
      </c>
      <c r="C151" s="63" t="n">
        <v>18.15</v>
      </c>
      <c r="D151" s="63" t="n">
        <v>12.9</v>
      </c>
      <c r="E151" s="63" t="n">
        <v>9.15</v>
      </c>
      <c r="F151" s="63" t="n">
        <v>8.05</v>
      </c>
      <c r="G151" s="63" t="n">
        <v>10</v>
      </c>
      <c r="H151" s="63" t="n">
        <v>1.6</v>
      </c>
      <c r="I151" s="63" t="n">
        <v>8.53</v>
      </c>
      <c r="J151" s="63" t="n">
        <v>7.4</v>
      </c>
      <c r="K151" s="64" t="n">
        <v>11</v>
      </c>
      <c r="L151" s="64" t="n">
        <v>26.69</v>
      </c>
      <c r="M151" s="64" t="n">
        <v>45.75</v>
      </c>
      <c r="N151" s="64" t="n">
        <v>53.25</v>
      </c>
      <c r="O151" s="2" t="s">
        <v>640</v>
      </c>
    </row>
    <row r="152" customFormat="false" ht="15" hidden="false" customHeight="false" outlineLevel="0" collapsed="false">
      <c r="A152" s="2"/>
      <c r="B152" s="2" t="s">
        <v>634</v>
      </c>
      <c r="C152" s="63" t="n">
        <v>2.25</v>
      </c>
      <c r="D152" s="63" t="n">
        <v>0.7</v>
      </c>
      <c r="E152" s="63" t="n">
        <v>0.5</v>
      </c>
      <c r="F152" s="63" t="n">
        <v>0.7</v>
      </c>
      <c r="G152" s="63" t="n">
        <v>0.7</v>
      </c>
      <c r="H152" s="63" t="n">
        <v>0.7</v>
      </c>
      <c r="I152" s="63" t="n">
        <v>2.7</v>
      </c>
      <c r="J152" s="63" t="n">
        <v>0.5</v>
      </c>
      <c r="K152" s="63" t="n">
        <v>0.25</v>
      </c>
      <c r="L152" s="63" t="n">
        <v>3</v>
      </c>
      <c r="M152" s="63" t="n">
        <v>0.25</v>
      </c>
      <c r="N152" s="63" t="n">
        <v>2</v>
      </c>
      <c r="O152" s="2"/>
    </row>
    <row r="153" customFormat="false" ht="15" hidden="false" customHeight="false" outlineLevel="0" collapsed="false">
      <c r="A153" s="2"/>
      <c r="B153" s="2" t="s">
        <v>635</v>
      </c>
      <c r="C153" s="63" t="n">
        <v>8</v>
      </c>
      <c r="D153" s="63" t="n">
        <v>7.45</v>
      </c>
      <c r="E153" s="63" t="n">
        <v>4.4</v>
      </c>
      <c r="F153" s="63" t="n">
        <v>5.1</v>
      </c>
      <c r="G153" s="63" t="n">
        <v>8</v>
      </c>
      <c r="H153" s="63"/>
      <c r="I153" s="63" t="n">
        <v>1.5</v>
      </c>
      <c r="J153" s="63" t="n">
        <v>5.3</v>
      </c>
      <c r="K153" s="63" t="n">
        <v>6</v>
      </c>
      <c r="L153" s="63" t="n">
        <v>7.75</v>
      </c>
      <c r="M153" s="63" t="n">
        <v>18.5</v>
      </c>
      <c r="N153" s="63" t="n">
        <v>12.25</v>
      </c>
      <c r="O153" s="2"/>
    </row>
    <row r="154" customFormat="false" ht="15" hidden="false" customHeight="false" outlineLevel="0" collapsed="false">
      <c r="A154" s="2" t="s">
        <v>83</v>
      </c>
      <c r="B154" s="2" t="s">
        <v>633</v>
      </c>
      <c r="C154" s="63" t="n">
        <v>6.5</v>
      </c>
      <c r="D154" s="63" t="n">
        <v>1.95</v>
      </c>
      <c r="E154" s="63" t="n">
        <v>0.5</v>
      </c>
      <c r="F154" s="63" t="n">
        <v>3.75</v>
      </c>
      <c r="G154" s="63"/>
      <c r="H154" s="63" t="n">
        <v>0.3</v>
      </c>
      <c r="I154" s="64"/>
      <c r="J154" s="64"/>
      <c r="K154" s="64" t="n">
        <v>19.35</v>
      </c>
      <c r="L154" s="64" t="n">
        <v>5.25</v>
      </c>
      <c r="M154" s="64" t="n">
        <v>9</v>
      </c>
      <c r="N154" s="64" t="n">
        <v>6.75</v>
      </c>
      <c r="O154" s="2" t="s">
        <v>246</v>
      </c>
    </row>
    <row r="155" customFormat="false" ht="15" hidden="false" customHeight="false" outlineLevel="0" collapsed="false">
      <c r="A155" s="2"/>
      <c r="B155" s="2" t="s">
        <v>634</v>
      </c>
      <c r="C155" s="63"/>
      <c r="D155" s="63" t="n">
        <v>0.7</v>
      </c>
      <c r="E155" s="63"/>
      <c r="F155" s="63" t="n">
        <v>1.25</v>
      </c>
      <c r="G155" s="63"/>
      <c r="H155" s="63"/>
      <c r="I155" s="63"/>
      <c r="J155" s="63"/>
      <c r="K155" s="63" t="n">
        <v>0.35</v>
      </c>
      <c r="L155" s="63"/>
      <c r="M155" s="63"/>
      <c r="N155" s="63"/>
      <c r="O155" s="2"/>
    </row>
    <row r="156" customFormat="false" ht="15" hidden="false" customHeight="false" outlineLevel="0" collapsed="false">
      <c r="A156" s="2"/>
      <c r="B156" s="2" t="s">
        <v>635</v>
      </c>
      <c r="C156" s="63"/>
      <c r="D156" s="63"/>
      <c r="E156" s="63" t="n">
        <v>0.5</v>
      </c>
      <c r="F156" s="63" t="n">
        <v>0.15</v>
      </c>
      <c r="G156" s="63"/>
      <c r="H156" s="63" t="n">
        <v>0.3</v>
      </c>
      <c r="I156" s="63"/>
      <c r="J156" s="63"/>
      <c r="K156" s="63" t="n">
        <v>15.5</v>
      </c>
      <c r="L156" s="63"/>
      <c r="M156" s="63" t="n">
        <v>7</v>
      </c>
      <c r="N156" s="63" t="n">
        <v>2</v>
      </c>
      <c r="O15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0"/>
    <col collapsed="false" customWidth="true" hidden="false" outlineLevel="0" max="3" min="3" style="0" width="60"/>
  </cols>
  <sheetData>
    <row r="1" customFormat="false" ht="31.5" hidden="false" customHeight="true" outlineLevel="0" collapsed="false">
      <c r="A1" s="5" t="s">
        <v>641</v>
      </c>
      <c r="B1" s="5" t="s">
        <v>642</v>
      </c>
      <c r="C1" s="5" t="s">
        <v>643</v>
      </c>
    </row>
    <row r="2" customFormat="false" ht="15" hidden="false" customHeight="false" outlineLevel="0" collapsed="false">
      <c r="A2" s="2" t="n">
        <v>1</v>
      </c>
      <c r="B2" s="65" t="s">
        <v>644</v>
      </c>
      <c r="C2" s="65" t="s">
        <v>645</v>
      </c>
    </row>
    <row r="3" customFormat="false" ht="15" hidden="false" customHeight="false" outlineLevel="0" collapsed="false">
      <c r="A3" s="2" t="n">
        <v>2</v>
      </c>
      <c r="B3" s="65" t="s">
        <v>646</v>
      </c>
      <c r="C3" s="65" t="s">
        <v>647</v>
      </c>
    </row>
    <row r="4" customFormat="false" ht="26.85" hidden="false" customHeight="false" outlineLevel="0" collapsed="false">
      <c r="A4" s="2" t="n">
        <v>3</v>
      </c>
      <c r="B4" s="65" t="s">
        <v>648</v>
      </c>
      <c r="C4" s="65" t="s">
        <v>649</v>
      </c>
    </row>
    <row r="5" customFormat="false" ht="15" hidden="false" customHeight="false" outlineLevel="0" collapsed="false">
      <c r="A5" s="2" t="n">
        <v>4</v>
      </c>
      <c r="B5" s="65" t="s">
        <v>650</v>
      </c>
      <c r="C5" s="65" t="s">
        <v>651</v>
      </c>
    </row>
    <row r="6" customFormat="false" ht="15" hidden="false" customHeight="false" outlineLevel="0" collapsed="false">
      <c r="A6" s="2" t="n">
        <v>5</v>
      </c>
      <c r="B6" s="65" t="s">
        <v>652</v>
      </c>
      <c r="C6" s="65" t="s">
        <v>653</v>
      </c>
    </row>
    <row r="7" customFormat="false" ht="15" hidden="false" customHeight="false" outlineLevel="0" collapsed="false">
      <c r="A7" s="2" t="n">
        <v>6</v>
      </c>
      <c r="B7" s="65" t="s">
        <v>654</v>
      </c>
      <c r="C7" s="65" t="s">
        <v>655</v>
      </c>
    </row>
    <row r="8" customFormat="false" ht="15" hidden="false" customHeight="false" outlineLevel="0" collapsed="false">
      <c r="A8" s="2" t="n">
        <v>7</v>
      </c>
      <c r="B8" s="65" t="s">
        <v>656</v>
      </c>
      <c r="C8" s="65" t="s">
        <v>657</v>
      </c>
    </row>
    <row r="9" customFormat="false" ht="15" hidden="false" customHeight="false" outlineLevel="0" collapsed="false">
      <c r="A9" s="2" t="n">
        <v>8</v>
      </c>
      <c r="B9" s="65" t="s">
        <v>658</v>
      </c>
      <c r="C9" s="65" t="s">
        <v>659</v>
      </c>
    </row>
    <row r="10" customFormat="false" ht="26.85" hidden="false" customHeight="false" outlineLevel="0" collapsed="false">
      <c r="A10" s="2" t="n">
        <v>9</v>
      </c>
      <c r="B10" s="65" t="s">
        <v>660</v>
      </c>
      <c r="C10" s="65" t="s">
        <v>661</v>
      </c>
    </row>
    <row r="11" customFormat="false" ht="15" hidden="false" customHeight="false" outlineLevel="0" collapsed="false">
      <c r="A11" s="2" t="n">
        <v>10</v>
      </c>
      <c r="B11" s="65" t="s">
        <v>662</v>
      </c>
      <c r="C11" s="65" t="s">
        <v>663</v>
      </c>
    </row>
    <row r="12" customFormat="false" ht="15" hidden="false" customHeight="false" outlineLevel="0" collapsed="false">
      <c r="A12" s="2" t="n">
        <v>11</v>
      </c>
      <c r="B12" s="65" t="s">
        <v>664</v>
      </c>
      <c r="C12" s="65" t="s">
        <v>665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2026-10-02T00:08:08Z</dcterms:created>
  <dc:creator>openpyxl</dc:creator>
  <dc:description/>
  <dc:language>en-US</dc:language>
  <cp:lastModifiedBy/>
  <dcterms:modified xsi:type="dcterms:W3CDTF">2026-10-02T00:08:09Z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